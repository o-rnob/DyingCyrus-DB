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 Bank" sheetId="1" r:id="rId4"/>
    <sheet state="visible" name="IFIC Bank" sheetId="2" r:id="rId5"/>
    <sheet state="visible" name="Bank Asia Ltd" sheetId="3" r:id="rId6"/>
    <sheet state="visible" name="BRAC Bank Ltd" sheetId="4" r:id="rId7"/>
    <sheet state="visible" name="Dutch-Bangla Bank PLC" sheetId="5" r:id="rId8"/>
    <sheet state="visible" name="Eastern Bank Ltd" sheetId="6" r:id="rId9"/>
    <sheet state="visible" name="Mutual Trust Bank" sheetId="7" r:id="rId10"/>
    <sheet state="visible" name="Prime Bank PLC" sheetId="8" r:id="rId11"/>
    <sheet state="visible" name="Mercantile Bank Ltd" sheetId="9" r:id="rId12"/>
    <sheet state="visible" name="Southeast Bank PLC" sheetId="10" r:id="rId13"/>
    <sheet state="visible" name="Pubali Bank PLC" sheetId="11" r:id="rId14"/>
  </sheets>
  <definedNames/>
  <calcPr/>
  <extLst>
    <ext uri="GoogleSheetsCustomDataVersion2">
      <go:sheetsCustomData xmlns:go="http://customooxmlschemas.google.com/" r:id="rId15" roundtripDataChecksum="EwQCuKCcdvnjpcsnxBYVGn3v5EUvL01P2nYqzB1I6HU="/>
    </ext>
  </extLst>
</workbook>
</file>

<file path=xl/sharedStrings.xml><?xml version="1.0" encoding="utf-8"?>
<sst xmlns="http://schemas.openxmlformats.org/spreadsheetml/2006/main" count="812" uniqueCount="76">
  <si>
    <t>IFIC Bank PLC — Financial Dataset (2025 -2015)</t>
  </si>
  <si>
    <t>City Bank PLC — Financial Dataset (2025- 2015)</t>
  </si>
  <si>
    <t>Brac Bank LTD  — Financial Dataset (2025 -2015)</t>
  </si>
  <si>
    <t>Bank Asia PLC  — Financial Dataset (2025 -2015)</t>
  </si>
  <si>
    <t xml:space="preserve">Summery </t>
  </si>
  <si>
    <t>Mean ROE % (2015-2025)</t>
  </si>
  <si>
    <t>Std Dev ROE % (2015-2025)</t>
  </si>
  <si>
    <t>Sharpe-like ratio (rf=3%, full period)</t>
  </si>
  <si>
    <t>Rolling mean ROE % (2019-2024 window)</t>
  </si>
  <si>
    <t>Rolling std dev ROE % (2019-2024)</t>
  </si>
  <si>
    <t>Rolling Sharpe-like ratio (2019-2024)</t>
  </si>
  <si>
    <t>Equity CAGR % (2015-2025)</t>
  </si>
  <si>
    <t>Max drawdown in NPAT %, 2015-2025 (peak-to-trough)</t>
  </si>
  <si>
    <t>Newey-West (HAC) trend regression: NPL% vs year, slope</t>
  </si>
  <si>
    <t>Metric</t>
  </si>
  <si>
    <t>Unit</t>
  </si>
  <si>
    <t>BALANCE SHEET</t>
  </si>
  <si>
    <t>Total Assets</t>
  </si>
  <si>
    <t>Tk mn</t>
  </si>
  <si>
    <t>Loans &amp; Advances</t>
  </si>
  <si>
    <t>Total Deposits</t>
  </si>
  <si>
    <t>Loans &amp; Advances, gross</t>
  </si>
  <si>
    <t>Shareholders' Equity</t>
  </si>
  <si>
    <t>INCOME STATEMENT</t>
  </si>
  <si>
    <t>N/A</t>
  </si>
  <si>
    <t>Net Interest Income</t>
  </si>
  <si>
    <t>Non-Interest Income</t>
  </si>
  <si>
    <t>Net Profit After Tax</t>
  </si>
  <si>
    <t>PER-SHARE &amp; PROFITABILITY</t>
  </si>
  <si>
    <t>EPS</t>
  </si>
  <si>
    <t>BDT</t>
  </si>
  <si>
    <t>ROA %</t>
  </si>
  <si>
    <t>%</t>
  </si>
  <si>
    <t>ROE %</t>
  </si>
  <si>
    <t>ASSET QUALITY</t>
  </si>
  <si>
    <t>NPL % (gross)</t>
  </si>
  <si>
    <t>NPL amount</t>
  </si>
  <si>
    <t>Provision Coverage %</t>
  </si>
  <si>
    <t>Loan-Deposit Ratio %</t>
  </si>
  <si>
    <t>CAPITAL &amp; EFFICIENCY</t>
  </si>
  <si>
    <t>Capital Adequacy Ratio %</t>
  </si>
  <si>
    <t>Cost-to-Income Ratio %</t>
  </si>
  <si>
    <t>DERIVED METRICS (formulas)</t>
  </si>
  <si>
    <t>NPL / Total Assets %</t>
  </si>
  <si>
    <t>YoY NPAT growth %</t>
  </si>
  <si>
    <t>CRAR % (Group)</t>
  </si>
  <si>
    <t>Cost-to-Income Ratio % (Group)</t>
  </si>
  <si>
    <t>YoY Total Assets growth %</t>
  </si>
  <si>
    <t>DERIVED METRICS</t>
  </si>
  <si>
    <t xml:space="preserve">DERIVED METRICS </t>
  </si>
  <si>
    <t>Estimated NPL amount (NPL% x Loans)</t>
  </si>
  <si>
    <t>80.31%*</t>
  </si>
  <si>
    <t>NPL / Total Assets % (estimated)</t>
  </si>
  <si>
    <t>YoY Equity growth %</t>
  </si>
  <si>
    <t>Dutch Banlga Bank Ltd— Financial Dataset (2025 -2015)</t>
  </si>
  <si>
    <t>Eastern bank PLC  — Financial Dataset (2025 -2015)</t>
  </si>
  <si>
    <t>MTB-— Financial Dataset (2025 -2015)</t>
  </si>
  <si>
    <t>BALANCE SHEET (mn Taka)</t>
  </si>
  <si>
    <t>INCOME STATEMENT (mn Taka)</t>
  </si>
  <si>
    <t>165,370†</t>
  </si>
  <si>
    <t>114,356†</t>
  </si>
  <si>
    <t>EPS (Taka)</t>
  </si>
  <si>
    <t>131,272†</t>
  </si>
  <si>
    <t>Estimated NPL amount</t>
  </si>
  <si>
    <t>N/A‡</t>
  </si>
  <si>
    <t>n/a*</t>
  </si>
  <si>
    <t>N/A⁴</t>
  </si>
  <si>
    <t>Prime Bank PLC — Financial Dataset (2025 -2015)</t>
  </si>
  <si>
    <t>Mercantile Bank PLC — Financial Dataset (2025 -2015)</t>
  </si>
  <si>
    <t>South East Bank PLC — Financial Dataset (2025 -2015)</t>
  </si>
  <si>
    <t>BALANCE SHEET (BDT million)</t>
  </si>
  <si>
    <t>INCOME STATEMENT (BDT million)</t>
  </si>
  <si>
    <t>Pubali Bank PLC — Financial Dataset (2025 -2015)</t>
  </si>
  <si>
    <t>n/a</t>
  </si>
  <si>
    <t>N/M</t>
  </si>
  <si>
    <t>−20.00%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</si>
</sst>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0.000"/>
    <numFmt numFmtId="167" formatCode="#,##0.0"/>
  </numFmts>
  <fonts count="48">
    <font>
      <sz val="11.0"/>
      <color theme="1"/>
      <name val="Calibri"/>
      <scheme val="minor"/>
    </font>
    <font>
      <sz val="11.0"/>
      <color theme="1"/>
      <name val="Arial"/>
    </font>
    <font>
      <b/>
      <sz val="15.0"/>
      <color theme="1"/>
      <name val="Arial"/>
    </font>
    <font>
      <sz val="11.0"/>
      <color theme="1"/>
      <name val="Calibri"/>
    </font>
    <font>
      <b/>
      <sz val="15.0"/>
      <color theme="1"/>
      <name val="Calibri"/>
    </font>
    <font>
      <b/>
      <sz val="13.0"/>
      <color theme="1"/>
      <name val="Arial"/>
    </font>
    <font>
      <b/>
      <sz val="13.0"/>
      <color rgb="FFFFFFFF"/>
      <name val="Arial"/>
    </font>
    <font/>
    <font>
      <sz val="10.0"/>
      <color theme="1"/>
      <name val="Arial"/>
    </font>
    <font>
      <b/>
      <sz val="13.0"/>
      <color rgb="FFFFFF00"/>
      <name val="Arial"/>
    </font>
    <font>
      <i/>
      <sz val="11.0"/>
      <color theme="1"/>
      <name val="Calibri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1.0"/>
      <color rgb="FFFFFF00"/>
      <name val="Arial"/>
    </font>
    <font>
      <b/>
      <sz val="10.0"/>
      <color rgb="FFFFFF00"/>
      <name val="Arial"/>
    </font>
    <font>
      <b/>
      <sz val="10.0"/>
      <color theme="1"/>
      <name val="Arial"/>
    </font>
    <font>
      <sz val="10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i/>
      <sz val="8.0"/>
      <color rgb="FF666666"/>
      <name val="Arial"/>
    </font>
    <font>
      <b/>
      <sz val="14.0"/>
      <color theme="1"/>
      <name val="Arial"/>
    </font>
    <font>
      <color theme="1"/>
      <name val="Calibri"/>
      <scheme val="minor"/>
    </font>
    <font>
      <b/>
      <sz val="13.0"/>
      <color rgb="FF073763"/>
      <name val="Arial"/>
    </font>
    <font>
      <b/>
      <sz val="11.0"/>
      <color rgb="FF1155CC"/>
      <name val="Arial"/>
    </font>
    <font>
      <b/>
      <sz val="10.0"/>
      <color rgb="FF1155CC"/>
      <name val="Arial"/>
    </font>
    <font>
      <b/>
      <sz val="13.0"/>
      <color rgb="FFF4CCCC"/>
      <name val="Arial"/>
    </font>
    <font>
      <sz val="11.0"/>
      <color rgb="FF000000"/>
      <name val="Calibri"/>
    </font>
    <font>
      <sz val="11.0"/>
      <color rgb="FFFFFFFF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1.0"/>
      <color rgb="FFF4CCCC"/>
      <name val="Arial"/>
    </font>
    <font>
      <b/>
      <sz val="10.0"/>
      <color rgb="FFF4CCCC"/>
      <name val="Arial"/>
    </font>
    <font>
      <b/>
      <sz val="10.0"/>
      <color rgb="FF980000"/>
      <name val="Arial"/>
    </font>
    <font>
      <sz val="10.0"/>
      <color rgb="FF000000"/>
      <name val="Arial"/>
    </font>
    <font>
      <b/>
      <sz val="13.0"/>
      <color rgb="FF434343"/>
      <name val="Arial"/>
    </font>
    <font>
      <b/>
      <sz val="13.0"/>
      <color rgb="FF274E13"/>
      <name val="Arial"/>
    </font>
    <font>
      <b/>
      <sz val="11.0"/>
      <color rgb="FF274E13"/>
      <name val="Arial"/>
    </font>
    <font>
      <b/>
      <sz val="11.0"/>
      <color rgb="FF434343"/>
      <name val="Arial"/>
    </font>
    <font>
      <b/>
      <sz val="10.0"/>
      <color rgb="FF274E13"/>
      <name val="Arial"/>
    </font>
    <font>
      <b/>
      <sz val="10.0"/>
      <color rgb="FF434343"/>
      <name val="Arial"/>
    </font>
    <font>
      <sz val="11.0"/>
      <color rgb="FF1155CC"/>
      <name val="Calibri"/>
    </font>
    <font>
      <b/>
      <sz val="10.0"/>
      <color rgb="FF000000"/>
      <name val="Arial"/>
    </font>
    <font>
      <sz val="10.0"/>
      <color rgb="FF1155CC"/>
      <name val="Calibri"/>
    </font>
    <font>
      <b/>
      <sz val="10.0"/>
      <color rgb="FF741B47"/>
      <name val="Arial"/>
    </font>
    <font>
      <sz val="11.0"/>
      <color rgb="FF741B47"/>
      <name val="Calibri"/>
    </font>
    <font>
      <sz val="10.0"/>
      <color rgb="FF741B47"/>
      <name val="Calibri"/>
    </font>
    <font>
      <sz val="11.0"/>
      <color rgb="FF274E13"/>
      <name val="Calibri"/>
    </font>
    <font>
      <sz val="10.0"/>
      <color rgb="FF274E13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  <fill>
      <patternFill patternType="solid">
        <fgColor rgb="FF5378D5"/>
        <bgColor rgb="FF5378D5"/>
      </patternFill>
    </fill>
    <fill>
      <patternFill patternType="solid">
        <fgColor rgb="FF3C78D8"/>
        <bgColor rgb="FF3C78D8"/>
      </patternFill>
    </fill>
    <fill>
      <patternFill patternType="solid">
        <fgColor rgb="FFF3D9DC"/>
        <bgColor rgb="FFF3D9DC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ECD9DC"/>
        <bgColor rgb="FFECD9D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B00000"/>
        <bgColor rgb="FFB00000"/>
      </patternFill>
    </fill>
    <fill>
      <patternFill patternType="solid">
        <fgColor rgb="FFFFFF39"/>
        <bgColor rgb="FFFFFF39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ABC5E7"/>
        <bgColor rgb="FFABC5E7"/>
      </patternFill>
    </fill>
    <fill>
      <patternFill patternType="solid">
        <fgColor rgb="FF9FC5E8"/>
        <bgColor rgb="FF9FC5E8"/>
      </patternFill>
    </fill>
    <fill>
      <patternFill patternType="solid">
        <fgColor rgb="FF4C1130"/>
        <bgColor rgb="FF4C1130"/>
      </patternFill>
    </fill>
    <fill>
      <patternFill patternType="solid">
        <fgColor rgb="FFEA9999"/>
        <bgColor rgb="FFEA9999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274E13"/>
        <bgColor rgb="FF274E13"/>
      </patternFill>
    </fill>
  </fills>
  <borders count="1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2" fillId="0" fontId="7" numFmtId="0" xfId="0" applyBorder="1" applyFont="1"/>
    <xf borderId="3" fillId="0" fontId="7" numFmtId="0" xfId="0" applyBorder="1" applyFont="1"/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4" fontId="9" numFmtId="0" xfId="0" applyAlignment="1" applyBorder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4" fillId="5" fontId="11" numFmtId="0" xfId="0" applyAlignment="1" applyBorder="1" applyFill="1" applyFont="1">
      <alignment shrinkToFit="0" vertical="bottom" wrapText="0"/>
    </xf>
    <xf borderId="4" fillId="3" fontId="11" numFmtId="0" xfId="0" applyAlignment="1" applyBorder="1" applyFont="1">
      <alignment shrinkToFit="0" vertical="bottom" wrapText="0"/>
    </xf>
    <xf borderId="4" fillId="5" fontId="11" numFmtId="0" xfId="0" applyAlignment="1" applyBorder="1" applyFont="1">
      <alignment horizontal="center" shrinkToFit="0" vertical="bottom" wrapText="0"/>
    </xf>
    <xf borderId="5" fillId="3" fontId="11" numFmtId="0" xfId="0" applyAlignment="1" applyBorder="1" applyFont="1">
      <alignment horizontal="center" shrinkToFit="0" vertical="bottom" wrapText="0"/>
    </xf>
    <xf borderId="5" fillId="5" fontId="11" numFmtId="0" xfId="0" applyAlignment="1" applyBorder="1" applyFont="1">
      <alignment horizontal="center" shrinkToFit="0" vertical="bottom" wrapText="0"/>
    </xf>
    <xf borderId="6" fillId="3" fontId="12" numFmtId="0" xfId="0" applyAlignment="1" applyBorder="1" applyFont="1">
      <alignment horizontal="center" shrinkToFit="0" vertical="bottom" wrapText="0"/>
    </xf>
    <xf borderId="4" fillId="5" fontId="13" numFmtId="0" xfId="0" applyAlignment="1" applyBorder="1" applyFont="1">
      <alignment shrinkToFit="0" vertical="bottom" wrapText="0"/>
    </xf>
    <xf borderId="6" fillId="5" fontId="12" numFmtId="0" xfId="0" applyAlignment="1" applyBorder="1" applyFont="1">
      <alignment horizontal="center" shrinkToFit="0" vertical="bottom" wrapText="0"/>
    </xf>
    <xf borderId="7" fillId="3" fontId="11" numFmtId="0" xfId="0" applyAlignment="1" applyBorder="1" applyFont="1">
      <alignment horizontal="center" shrinkToFit="0" vertical="bottom" wrapText="0"/>
    </xf>
    <xf borderId="4" fillId="3" fontId="11" numFmtId="0" xfId="0" applyAlignment="1" applyBorder="1" applyFont="1">
      <alignment horizontal="center" shrinkToFit="0" vertical="bottom" wrapText="0"/>
    </xf>
    <xf borderId="7" fillId="5" fontId="11" numFmtId="0" xfId="0" applyAlignment="1" applyBorder="1" applyFont="1">
      <alignment horizontal="center" shrinkToFit="0" vertical="bottom" wrapText="0"/>
    </xf>
    <xf borderId="5" fillId="5" fontId="13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6" fillId="5" fontId="14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7" fillId="5" fontId="13" numFmtId="0" xfId="0" applyAlignment="1" applyBorder="1" applyFont="1">
      <alignment horizontal="center" shrinkToFit="0" vertical="bottom" wrapText="0"/>
    </xf>
    <xf borderId="4" fillId="6" fontId="15" numFmtId="0" xfId="0" applyAlignment="1" applyBorder="1" applyFill="1" applyFont="1">
      <alignment shrinkToFit="0" vertical="bottom" wrapText="0"/>
    </xf>
    <xf borderId="4" fillId="0" fontId="11" numFmtId="0" xfId="0" applyAlignment="1" applyBorder="1" applyFont="1">
      <alignment horizontal="center" shrinkToFit="0" vertical="bottom" wrapText="0"/>
    </xf>
    <xf borderId="4" fillId="5" fontId="13" numFmtId="0" xfId="0" applyAlignment="1" applyBorder="1" applyFont="1">
      <alignment horizontal="center" shrinkToFit="0" vertical="bottom" wrapText="0"/>
    </xf>
    <xf borderId="4" fillId="6" fontId="3" numFmtId="0" xfId="0" applyAlignment="1" applyBorder="1" applyFont="1">
      <alignment shrinkToFit="0" vertical="bottom" wrapText="0"/>
    </xf>
    <xf borderId="4" fillId="7" fontId="15" numFmtId="0" xfId="0" applyAlignment="1" applyBorder="1" applyFill="1" applyFont="1">
      <alignment shrinkToFit="0" vertical="bottom" wrapText="0"/>
    </xf>
    <xf borderId="5" fillId="6" fontId="3" numFmtId="0" xfId="0" applyAlignment="1" applyBorder="1" applyFont="1">
      <alignment shrinkToFit="0" vertical="bottom" wrapText="0"/>
    </xf>
    <xf borderId="4" fillId="8" fontId="11" numFmtId="0" xfId="0" applyAlignment="1" applyBorder="1" applyFill="1" applyFont="1">
      <alignment shrinkToFit="0" vertical="bottom" wrapText="0"/>
    </xf>
    <xf borderId="6" fillId="9" fontId="16" numFmtId="0" xfId="0" applyAlignment="1" applyBorder="1" applyFill="1" applyFont="1">
      <alignment shrinkToFit="0" vertical="bottom" wrapText="0"/>
    </xf>
    <xf borderId="4" fillId="7" fontId="3" numFmtId="0" xfId="0" applyAlignment="1" applyBorder="1" applyFont="1">
      <alignment shrinkToFit="0" vertical="bottom" wrapText="0"/>
    </xf>
    <xf borderId="5" fillId="8" fontId="11" numFmtId="0" xfId="0" applyAlignment="1" applyBorder="1" applyFont="1">
      <alignment horizontal="center" shrinkToFit="0" vertical="bottom" wrapText="0"/>
    </xf>
    <xf borderId="7" fillId="6" fontId="3" numFmtId="0" xfId="0" applyAlignment="1" applyBorder="1" applyFont="1">
      <alignment shrinkToFit="0" vertical="bottom" wrapText="0"/>
    </xf>
    <xf borderId="6" fillId="8" fontId="11" numFmtId="0" xfId="0" applyAlignment="1" applyBorder="1" applyFont="1">
      <alignment horizontal="center" shrinkToFit="0" vertical="bottom" wrapText="0"/>
    </xf>
    <xf borderId="5" fillId="7" fontId="3" numFmtId="0" xfId="0" applyAlignment="1" applyBorder="1" applyFont="1">
      <alignment shrinkToFit="0" vertical="bottom" wrapText="0"/>
    </xf>
    <xf borderId="7" fillId="8" fontId="11" numFmtId="0" xfId="0" applyAlignment="1" applyBorder="1" applyFont="1">
      <alignment horizontal="center" shrinkToFit="0" vertical="bottom" wrapText="0"/>
    </xf>
    <xf borderId="6" fillId="7" fontId="16" numFmtId="0" xfId="0" applyAlignment="1" applyBorder="1" applyFont="1">
      <alignment shrinkToFit="0" vertical="bottom" wrapText="0"/>
    </xf>
    <xf borderId="4" fillId="8" fontId="11" numFmtId="0" xfId="0" applyAlignment="1" applyBorder="1" applyFont="1">
      <alignment horizontal="center" shrinkToFit="0" vertical="bottom" wrapText="0"/>
    </xf>
    <xf borderId="7" fillId="7" fontId="3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1" fillId="0" fontId="8" numFmtId="167" xfId="0" applyAlignment="1" applyBorder="1" applyFont="1" applyNumberFormat="1">
      <alignment shrinkToFit="0" vertical="bottom" wrapText="0"/>
    </xf>
    <xf borderId="4" fillId="2" fontId="15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6" fillId="10" fontId="8" numFmtId="167" xfId="0" applyAlignment="1" applyBorder="1" applyFill="1" applyFont="1" applyNumberForma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6" fillId="2" fontId="17" numFmtId="0" xfId="0" applyAlignment="1" applyBorder="1" applyFont="1">
      <alignment shrinkToFit="0" vertical="bottom" wrapText="0"/>
    </xf>
    <xf borderId="8" fillId="0" fontId="8" numFmtId="167" xfId="0" applyAlignment="1" applyBorder="1" applyFont="1" applyNumberFormat="1">
      <alignment shrinkToFit="0" vertical="bottom" wrapText="0"/>
    </xf>
    <xf borderId="6" fillId="10" fontId="8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8" numFmtId="167" xfId="0" applyAlignment="1" applyBorder="1" applyFont="1" applyNumberForma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1" fillId="0" fontId="8" numFmtId="3" xfId="0" applyAlignment="1" applyBorder="1" applyFont="1" applyNumberFormat="1">
      <alignment shrinkToFit="0" vertical="bottom" wrapText="0"/>
    </xf>
    <xf borderId="6" fillId="10" fontId="1" numFmtId="3" xfId="0" applyAlignment="1" applyBorder="1" applyFont="1" applyNumberFormat="1">
      <alignment shrinkToFit="0" vertical="bottom" wrapText="0"/>
    </xf>
    <xf borderId="8" fillId="0" fontId="8" numFmtId="3" xfId="0" applyAlignment="1" applyBorder="1" applyFont="1" applyNumberFormat="1">
      <alignment shrinkToFit="0" vertical="bottom" wrapText="0"/>
    </xf>
    <xf borderId="4" fillId="0" fontId="8" numFmtId="3" xfId="0" applyAlignment="1" applyBorder="1" applyFont="1" applyNumberFormat="1">
      <alignment shrinkToFit="0" vertical="bottom" wrapText="0"/>
    </xf>
    <xf borderId="4" fillId="6" fontId="18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1" fillId="0" fontId="8" numFmtId="165" xfId="0" applyAlignment="1" applyBorder="1" applyFont="1" applyNumberFormat="1">
      <alignment shrinkToFit="0" vertical="bottom" wrapText="0"/>
    </xf>
    <xf borderId="6" fillId="10" fontId="1" numFmtId="165" xfId="0" applyAlignment="1" applyBorder="1" applyFont="1" applyNumberFormat="1">
      <alignment shrinkToFit="0" vertical="bottom" wrapText="0"/>
    </xf>
    <xf borderId="8" fillId="0" fontId="8" numFmtId="165" xfId="0" applyAlignment="1" applyBorder="1" applyFont="1" applyNumberFormat="1">
      <alignment shrinkToFit="0" vertical="bottom" wrapText="0"/>
    </xf>
    <xf borderId="4" fillId="0" fontId="8" numFmtId="165" xfId="0" applyAlignment="1" applyBorder="1" applyFont="1" applyNumberFormat="1">
      <alignment shrinkToFit="0" vertical="bottom" wrapText="0"/>
    </xf>
    <xf borderId="1" fillId="0" fontId="8" numFmtId="2" xfId="0" applyAlignment="1" applyBorder="1" applyFont="1" applyNumberFormat="1">
      <alignment shrinkToFit="0" vertical="bottom" wrapText="0"/>
    </xf>
    <xf borderId="6" fillId="10" fontId="8" numFmtId="2" xfId="0" applyAlignment="1" applyBorder="1" applyFont="1" applyNumberFormat="1">
      <alignment shrinkToFit="0" vertical="bottom" wrapText="0"/>
    </xf>
    <xf borderId="8" fillId="0" fontId="8" numFmtId="2" xfId="0" applyAlignment="1" applyBorder="1" applyFont="1" applyNumberFormat="1">
      <alignment shrinkToFit="0" vertical="bottom" wrapText="0"/>
    </xf>
    <xf borderId="4" fillId="0" fontId="8" numFmtId="2" xfId="0" applyAlignment="1" applyBorder="1" applyFont="1" applyNumberFormat="1">
      <alignment shrinkToFit="0" vertical="bottom" wrapText="0"/>
    </xf>
    <xf borderId="6" fillId="10" fontId="1" numFmtId="2" xfId="0" applyAlignment="1" applyBorder="1" applyFont="1" applyNumberFormat="1">
      <alignment shrinkToFit="0" vertical="bottom" wrapText="0"/>
    </xf>
    <xf borderId="4" fillId="7" fontId="3" numFmtId="10" xfId="0" applyAlignment="1" applyBorder="1" applyFont="1" applyNumberFormat="1">
      <alignment shrinkToFit="0" vertical="bottom" wrapText="0"/>
    </xf>
    <xf borderId="5" fillId="7" fontId="3" numFmtId="10" xfId="0" applyAlignment="1" applyBorder="1" applyFont="1" applyNumberFormat="1">
      <alignment shrinkToFit="0" vertical="bottom" wrapText="0"/>
    </xf>
    <xf borderId="6" fillId="7" fontId="16" numFmtId="10" xfId="0" applyAlignment="1" applyBorder="1" applyFont="1" applyNumberFormat="1">
      <alignment shrinkToFit="0" vertical="bottom" wrapText="0"/>
    </xf>
    <xf borderId="7" fillId="7" fontId="3" numFmtId="10" xfId="0" applyAlignment="1" applyBorder="1" applyFont="1" applyNumberFormat="1">
      <alignment shrinkToFit="0" vertical="bottom" wrapText="0"/>
    </xf>
    <xf borderId="1" fillId="0" fontId="8" numFmtId="164" xfId="0" applyAlignment="1" applyBorder="1" applyFont="1" applyNumberFormat="1">
      <alignment shrinkToFit="0" vertical="bottom" wrapText="0"/>
    </xf>
    <xf borderId="6" fillId="10" fontId="1" numFmtId="164" xfId="0" applyAlignment="1" applyBorder="1" applyFont="1" applyNumberFormat="1">
      <alignment shrinkToFit="0" vertical="bottom" wrapText="0"/>
    </xf>
    <xf borderId="8" fillId="0" fontId="8" numFmtId="16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7" fontId="3" numFmtId="9" xfId="0" applyAlignment="1" applyBorder="1" applyFont="1" applyNumberFormat="1">
      <alignment shrinkToFit="0" vertical="bottom" wrapText="0"/>
    </xf>
    <xf borderId="5" fillId="7" fontId="3" numFmtId="9" xfId="0" applyAlignment="1" applyBorder="1" applyFont="1" applyNumberFormat="1">
      <alignment shrinkToFit="0" vertical="bottom" wrapText="0"/>
    </xf>
    <xf borderId="6" fillId="7" fontId="16" numFmtId="9" xfId="0" applyAlignment="1" applyBorder="1" applyFont="1" applyNumberFormat="1">
      <alignment shrinkToFit="0" vertical="bottom" wrapText="0"/>
    </xf>
    <xf borderId="7" fillId="7" fontId="3" numFmtId="9" xfId="0" applyAlignment="1" applyBorder="1" applyFont="1" applyNumberFormat="1">
      <alignment shrinkToFit="0" vertical="bottom" wrapText="0"/>
    </xf>
    <xf borderId="6" fillId="11" fontId="3" numFmtId="0" xfId="0" applyAlignment="1" applyBorder="1" applyFill="1" applyFont="1">
      <alignment shrinkToFit="0" vertical="bottom" wrapText="0"/>
    </xf>
    <xf borderId="4" fillId="10" fontId="3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6" fillId="10" fontId="8" numFmtId="3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4" fillId="12" fontId="8" numFmtId="0" xfId="0" applyAlignment="1" applyBorder="1" applyFill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6" fillId="10" fontId="8" numFmtId="164" xfId="0" applyAlignment="1" applyBorder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9" fillId="0" fontId="20" numFmtId="0" xfId="0" applyAlignment="1" applyBorder="1" applyFont="1">
      <alignment shrinkToFit="0" vertical="bottom" wrapText="0"/>
    </xf>
    <xf borderId="10" fillId="0" fontId="20" numFmtId="0" xfId="0" applyAlignment="1" applyBorder="1" applyFont="1">
      <alignment shrinkToFit="0" vertical="bottom" wrapText="0"/>
    </xf>
    <xf borderId="11" fillId="0" fontId="20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13" fillId="0" fontId="20" numFmtId="0" xfId="0" applyAlignment="1" applyBorder="1" applyFont="1">
      <alignment shrinkToFit="0" vertical="bottom" wrapText="0"/>
    </xf>
    <xf borderId="14" fillId="0" fontId="20" numFmtId="0" xfId="0" applyAlignment="1" applyBorder="1" applyFont="1">
      <alignment shrinkToFit="0" vertical="bottom" wrapText="0"/>
    </xf>
    <xf borderId="15" fillId="0" fontId="20" numFmtId="0" xfId="0" applyAlignment="1" applyBorder="1" applyFont="1">
      <alignment shrinkToFit="0" vertical="bottom" wrapText="0"/>
    </xf>
    <xf borderId="16" fillId="0" fontId="20" numFmtId="0" xfId="0" applyAlignment="1" applyBorder="1" applyFont="1">
      <alignment shrinkToFit="0" vertical="bottom" wrapText="0"/>
    </xf>
    <xf borderId="0" fillId="0" fontId="21" numFmtId="0" xfId="0" applyFont="1"/>
    <xf borderId="1" fillId="13" fontId="6" numFmtId="0" xfId="0" applyAlignment="1" applyBorder="1" applyFill="1" applyFont="1">
      <alignment shrinkToFit="0" vertical="bottom" wrapText="0"/>
    </xf>
    <xf borderId="1" fillId="14" fontId="22" numFmtId="0" xfId="0" applyAlignment="1" applyBorder="1" applyFill="1" applyFont="1">
      <alignment shrinkToFit="0" vertical="bottom" wrapText="0"/>
    </xf>
    <xf borderId="4" fillId="15" fontId="23" numFmtId="0" xfId="0" applyAlignment="1" applyBorder="1" applyFill="1" applyFont="1">
      <alignment shrinkToFit="0" vertical="bottom" wrapText="0"/>
    </xf>
    <xf borderId="4" fillId="16" fontId="11" numFmtId="0" xfId="0" applyAlignment="1" applyBorder="1" applyFill="1" applyFont="1">
      <alignment shrinkToFit="0" vertical="bottom" wrapText="0"/>
    </xf>
    <xf borderId="4" fillId="15" fontId="23" numFmtId="0" xfId="0" applyAlignment="1" applyBorder="1" applyFont="1">
      <alignment horizontal="center" shrinkToFit="0" vertical="bottom" wrapText="0"/>
    </xf>
    <xf borderId="5" fillId="15" fontId="23" numFmtId="0" xfId="0" applyAlignment="1" applyBorder="1" applyFont="1">
      <alignment horizontal="center" shrinkToFit="0" vertical="bottom" wrapText="0"/>
    </xf>
    <xf borderId="5" fillId="16" fontId="11" numFmtId="0" xfId="0" applyAlignment="1" applyBorder="1" applyFont="1">
      <alignment horizontal="center" shrinkToFit="0" vertical="bottom" wrapText="0"/>
    </xf>
    <xf borderId="6" fillId="15" fontId="24" numFmtId="0" xfId="0" applyAlignment="1" applyBorder="1" applyFont="1">
      <alignment horizontal="center" shrinkToFit="0" vertical="bottom" wrapText="0"/>
    </xf>
    <xf borderId="6" fillId="16" fontId="12" numFmtId="0" xfId="0" applyAlignment="1" applyBorder="1" applyFont="1">
      <alignment horizontal="center" shrinkToFit="0" vertical="bottom" wrapText="0"/>
    </xf>
    <xf borderId="7" fillId="15" fontId="23" numFmtId="0" xfId="0" applyAlignment="1" applyBorder="1" applyFont="1">
      <alignment horizontal="center" shrinkToFit="0" vertical="bottom" wrapText="0"/>
    </xf>
    <xf borderId="7" fillId="16" fontId="11" numFmtId="0" xfId="0" applyAlignment="1" applyBorder="1" applyFont="1">
      <alignment horizontal="center" shrinkToFit="0" vertical="bottom" wrapText="0"/>
    </xf>
    <xf borderId="4" fillId="16" fontId="11" numFmtId="0" xfId="0" applyAlignment="1" applyBorder="1" applyFont="1">
      <alignment horizontal="center" shrinkToFit="0" vertical="bottom" wrapText="0"/>
    </xf>
    <xf borderId="1" fillId="17" fontId="25" numFmtId="0" xfId="0" applyAlignment="1" applyBorder="1" applyFill="1" applyFont="1">
      <alignment shrinkToFit="0" vertical="bottom" wrapText="0"/>
    </xf>
    <xf borderId="4" fillId="18" fontId="24" numFmtId="0" xfId="0" applyAlignment="1" applyBorder="1" applyFill="1" applyFont="1">
      <alignment shrinkToFit="0" vertical="bottom" wrapText="0"/>
    </xf>
    <xf borderId="4" fillId="19" fontId="12" numFmtId="0" xfId="0" applyAlignment="1" applyBorder="1" applyFill="1" applyFont="1">
      <alignment shrinkToFit="0" vertical="bottom" wrapText="0"/>
    </xf>
    <xf borderId="4" fillId="18" fontId="26" numFmtId="0" xfId="0" applyAlignment="1" applyBorder="1" applyFont="1">
      <alignment shrinkToFit="0" vertical="bottom" wrapText="0"/>
    </xf>
    <xf borderId="4" fillId="19" fontId="27" numFmtId="0" xfId="0" applyAlignment="1" applyBorder="1" applyFont="1">
      <alignment shrinkToFit="0" vertical="bottom" wrapText="0"/>
    </xf>
    <xf borderId="5" fillId="18" fontId="26" numFmtId="0" xfId="0" applyAlignment="1" applyBorder="1" applyFont="1">
      <alignment shrinkToFit="0" vertical="bottom" wrapText="0"/>
    </xf>
    <xf borderId="5" fillId="19" fontId="27" numFmtId="0" xfId="0" applyAlignment="1" applyBorder="1" applyFont="1">
      <alignment shrinkToFit="0" vertical="bottom" wrapText="0"/>
    </xf>
    <xf borderId="6" fillId="18" fontId="28" numFmtId="0" xfId="0" applyAlignment="1" applyBorder="1" applyFont="1">
      <alignment shrinkToFit="0" vertical="bottom" wrapText="0"/>
    </xf>
    <xf borderId="6" fillId="19" fontId="29" numFmtId="0" xfId="0" applyAlignment="1" applyBorder="1" applyFont="1">
      <alignment shrinkToFit="0" vertical="bottom" wrapText="0"/>
    </xf>
    <xf borderId="7" fillId="18" fontId="26" numFmtId="0" xfId="0" applyAlignment="1" applyBorder="1" applyFont="1">
      <alignment shrinkToFit="0" vertical="bottom" wrapText="0"/>
    </xf>
    <xf borderId="7" fillId="19" fontId="27" numFmtId="0" xfId="0" applyAlignment="1" applyBorder="1" applyFont="1">
      <alignment shrinkToFit="0" vertical="bottom" wrapText="0"/>
    </xf>
    <xf borderId="4" fillId="0" fontId="8" numFmtId="4" xfId="0" applyAlignment="1" applyBorder="1" applyFont="1" applyNumberFormat="1">
      <alignment shrinkToFit="0" vertical="bottom" wrapText="0"/>
    </xf>
    <xf borderId="1" fillId="0" fontId="8" numFmtId="4" xfId="0" applyAlignment="1" applyBorder="1" applyFont="1" applyNumberFormat="1">
      <alignment shrinkToFit="0" vertical="bottom" wrapText="0"/>
    </xf>
    <xf borderId="6" fillId="10" fontId="8" numFmtId="4" xfId="0" applyAlignment="1" applyBorder="1" applyFont="1" applyNumberFormat="1">
      <alignment shrinkToFit="0" vertical="bottom" wrapText="0"/>
    </xf>
    <xf borderId="8" fillId="0" fontId="8" numFmtId="4" xfId="0" applyAlignment="1" applyBorder="1" applyFont="1" applyNumberFormat="1">
      <alignment shrinkToFit="0" vertical="bottom" wrapText="0"/>
    </xf>
    <xf borderId="4" fillId="17" fontId="30" numFmtId="0" xfId="0" applyAlignment="1" applyBorder="1" applyFont="1">
      <alignment shrinkToFit="0" vertical="bottom" wrapText="0"/>
    </xf>
    <xf borderId="4" fillId="17" fontId="30" numFmtId="0" xfId="0" applyAlignment="1" applyBorder="1" applyFont="1">
      <alignment horizontal="center" shrinkToFit="0" vertical="bottom" wrapText="0"/>
    </xf>
    <xf borderId="5" fillId="17" fontId="30" numFmtId="0" xfId="0" applyAlignment="1" applyBorder="1" applyFont="1">
      <alignment horizontal="center" shrinkToFit="0" vertical="bottom" wrapText="0"/>
    </xf>
    <xf borderId="6" fillId="17" fontId="31" numFmtId="0" xfId="0" applyAlignment="1" applyBorder="1" applyFont="1">
      <alignment horizontal="center" shrinkToFit="0" vertical="bottom" wrapText="0"/>
    </xf>
    <xf borderId="7" fillId="17" fontId="30" numFmtId="0" xfId="0" applyAlignment="1" applyBorder="1" applyFont="1">
      <alignment horizontal="center" shrinkToFit="0" vertical="bottom" wrapText="0"/>
    </xf>
    <xf borderId="4" fillId="20" fontId="32" numFmtId="0" xfId="0" applyAlignment="1" applyBorder="1" applyFill="1" applyFont="1">
      <alignment shrinkToFit="0" vertical="bottom" wrapText="0"/>
    </xf>
    <xf borderId="4" fillId="20" fontId="26" numFmtId="0" xfId="0" applyAlignment="1" applyBorder="1" applyFont="1">
      <alignment shrinkToFit="0" vertical="bottom" wrapText="0"/>
    </xf>
    <xf borderId="5" fillId="20" fontId="26" numFmtId="0" xfId="0" applyAlignment="1" applyBorder="1" applyFont="1">
      <alignment shrinkToFit="0" vertical="bottom" wrapText="0"/>
    </xf>
    <xf borderId="6" fillId="20" fontId="28" numFmtId="0" xfId="0" applyAlignment="1" applyBorder="1" applyFont="1">
      <alignment shrinkToFit="0" vertical="bottom" wrapText="0"/>
    </xf>
    <xf borderId="7" fillId="20" fontId="26" numFmtId="0" xfId="0" applyAlignment="1" applyBorder="1" applyFont="1">
      <alignment shrinkToFit="0" vertical="bottom" wrapText="0"/>
    </xf>
    <xf borderId="4" fillId="0" fontId="8" numFmtId="10" xfId="0" applyAlignment="1" applyBorder="1" applyFont="1" applyNumberFormat="1">
      <alignment shrinkToFit="0" vertical="bottom" wrapText="0"/>
    </xf>
    <xf borderId="1" fillId="0" fontId="8" numFmtId="10" xfId="0" applyAlignment="1" applyBorder="1" applyFont="1" applyNumberFormat="1">
      <alignment shrinkToFit="0" vertical="bottom" wrapText="0"/>
    </xf>
    <xf borderId="6" fillId="10" fontId="8" numFmtId="10" xfId="0" applyAlignment="1" applyBorder="1" applyFont="1" applyNumberFormat="1">
      <alignment shrinkToFit="0" vertical="bottom" wrapText="0"/>
    </xf>
    <xf borderId="8" fillId="0" fontId="8" numFmtId="10" xfId="0" applyAlignment="1" applyBorder="1" applyFont="1" applyNumberFormat="1">
      <alignment shrinkToFit="0" vertical="bottom" wrapText="0"/>
    </xf>
    <xf borderId="4" fillId="0" fontId="33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1" numFmtId="0" xfId="0" applyAlignment="1" applyFont="1">
      <alignment vertical="center"/>
    </xf>
    <xf borderId="1" fillId="21" fontId="34" numFmtId="0" xfId="0" applyAlignment="1" applyBorder="1" applyFill="1" applyFont="1">
      <alignment shrinkToFit="0" vertical="bottom" wrapText="0"/>
    </xf>
    <xf borderId="1" fillId="21" fontId="35" numFmtId="0" xfId="0" applyAlignment="1" applyBorder="1" applyFont="1">
      <alignment shrinkToFit="0" vertical="bottom" wrapText="0"/>
    </xf>
    <xf borderId="4" fillId="22" fontId="36" numFmtId="0" xfId="0" applyAlignment="1" applyBorder="1" applyFill="1" applyFont="1">
      <alignment shrinkToFit="0" vertical="bottom" wrapText="0"/>
    </xf>
    <xf borderId="4" fillId="22" fontId="37" numFmtId="0" xfId="0" applyAlignment="1" applyBorder="1" applyFont="1">
      <alignment shrinkToFit="0" vertical="bottom" wrapText="0"/>
    </xf>
    <xf borderId="4" fillId="22" fontId="36" numFmtId="0" xfId="0" applyAlignment="1" applyBorder="1" applyFont="1">
      <alignment horizontal="center" shrinkToFit="0" vertical="bottom" wrapText="0"/>
    </xf>
    <xf borderId="1" fillId="23" fontId="6" numFmtId="0" xfId="0" applyAlignment="1" applyBorder="1" applyFill="1" applyFont="1">
      <alignment shrinkToFit="0" vertical="bottom" wrapText="0"/>
    </xf>
    <xf borderId="5" fillId="22" fontId="36" numFmtId="0" xfId="0" applyAlignment="1" applyBorder="1" applyFont="1">
      <alignment horizontal="center" shrinkToFit="0" vertical="bottom" wrapText="0"/>
    </xf>
    <xf borderId="4" fillId="22" fontId="37" numFmtId="0" xfId="0" applyAlignment="1" applyBorder="1" applyFont="1">
      <alignment horizontal="center" shrinkToFit="0" vertical="bottom" wrapText="0"/>
    </xf>
    <xf borderId="6" fillId="22" fontId="38" numFmtId="0" xfId="0" applyAlignment="1" applyBorder="1" applyFont="1">
      <alignment horizontal="center" shrinkToFit="0" vertical="bottom" wrapText="0"/>
    </xf>
    <xf borderId="5" fillId="22" fontId="37" numFmtId="0" xfId="0" applyAlignment="1" applyBorder="1" applyFont="1">
      <alignment horizontal="center" shrinkToFit="0" vertical="bottom" wrapText="0"/>
    </xf>
    <xf borderId="7" fillId="22" fontId="36" numFmtId="0" xfId="0" applyAlignment="1" applyBorder="1" applyFont="1">
      <alignment horizontal="center" shrinkToFit="0" vertical="bottom" wrapText="0"/>
    </xf>
    <xf borderId="6" fillId="22" fontId="39" numFmtId="0" xfId="0" applyAlignment="1" applyBorder="1" applyFont="1">
      <alignment horizontal="center" shrinkToFit="0" vertical="bottom" wrapText="0"/>
    </xf>
    <xf borderId="7" fillId="22" fontId="37" numFmtId="0" xfId="0" applyAlignment="1" applyBorder="1" applyFont="1">
      <alignment horizontal="center" shrinkToFit="0" vertical="bottom" wrapText="0"/>
    </xf>
    <xf borderId="4" fillId="20" fontId="24" numFmtId="0" xfId="0" applyAlignment="1" applyBorder="1" applyFont="1">
      <alignment shrinkToFit="0" vertical="bottom" wrapText="0"/>
    </xf>
    <xf borderId="4" fillId="20" fontId="40" numFmtId="0" xfId="0" applyAlignment="1" applyBorder="1" applyFont="1">
      <alignment shrinkToFit="0" vertical="bottom" wrapText="0"/>
    </xf>
    <xf borderId="5" fillId="20" fontId="40" numFmtId="0" xfId="0" applyAlignment="1" applyBorder="1" applyFont="1">
      <alignment shrinkToFit="0" vertical="bottom" wrapText="0"/>
    </xf>
    <xf borderId="4" fillId="24" fontId="41" numFmtId="0" xfId="0" applyAlignment="1" applyBorder="1" applyFill="1" applyFont="1">
      <alignment shrinkToFit="0" vertical="bottom" wrapText="0"/>
    </xf>
    <xf borderId="6" fillId="20" fontId="42" numFmtId="0" xfId="0" applyAlignment="1" applyBorder="1" applyFont="1">
      <alignment shrinkToFit="0" vertical="bottom" wrapText="0"/>
    </xf>
    <xf borderId="4" fillId="24" fontId="26" numFmtId="0" xfId="0" applyAlignment="1" applyBorder="1" applyFont="1">
      <alignment shrinkToFit="0" vertical="bottom" wrapText="0"/>
    </xf>
    <xf borderId="7" fillId="20" fontId="40" numFmtId="0" xfId="0" applyAlignment="1" applyBorder="1" applyFont="1">
      <alignment shrinkToFit="0" vertical="bottom" wrapText="0"/>
    </xf>
    <xf borderId="5" fillId="24" fontId="26" numFmtId="0" xfId="0" applyAlignment="1" applyBorder="1" applyFont="1">
      <alignment shrinkToFit="0" vertical="bottom" wrapText="0"/>
    </xf>
    <xf borderId="6" fillId="24" fontId="28" numFmtId="0" xfId="0" applyAlignment="1" applyBorder="1" applyFont="1">
      <alignment shrinkToFit="0" vertical="bottom" wrapText="0"/>
    </xf>
    <xf borderId="7" fillId="24" fontId="26" numFmtId="0" xfId="0" applyAlignment="1" applyBorder="1" applyFont="1">
      <alignment shrinkToFit="0" vertical="bottom" wrapText="0"/>
    </xf>
    <xf borderId="4" fillId="24" fontId="26" numFmtId="3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4" fillId="25" fontId="11" numFmtId="0" xfId="0" applyAlignment="1" applyBorder="1" applyFill="1" applyFont="1">
      <alignment shrinkToFit="0" vertical="bottom" wrapText="0"/>
    </xf>
    <xf borderId="4" fillId="25" fontId="11" numFmtId="0" xfId="0" applyAlignment="1" applyBorder="1" applyFont="1">
      <alignment horizontal="center" shrinkToFit="0" vertical="bottom" wrapText="0"/>
    </xf>
    <xf borderId="5" fillId="25" fontId="11" numFmtId="0" xfId="0" applyAlignment="1" applyBorder="1" applyFont="1">
      <alignment horizontal="center" shrinkToFit="0" vertical="bottom" wrapText="0"/>
    </xf>
    <xf borderId="6" fillId="25" fontId="12" numFmtId="0" xfId="0" applyAlignment="1" applyBorder="1" applyFont="1">
      <alignment horizontal="center" shrinkToFit="0" vertical="bottom" wrapText="0"/>
    </xf>
    <xf borderId="7" fillId="25" fontId="11" numFmtId="0" xfId="0" applyAlignment="1" applyBorder="1" applyFont="1">
      <alignment horizontal="center" shrinkToFit="0" vertical="bottom" wrapText="0"/>
    </xf>
    <xf borderId="4" fillId="26" fontId="43" numFmtId="0" xfId="0" applyAlignment="1" applyBorder="1" applyFill="1" applyFont="1">
      <alignment shrinkToFit="0" vertical="bottom" wrapText="0"/>
    </xf>
    <xf borderId="4" fillId="20" fontId="40" numFmtId="4" xfId="0" applyAlignment="1" applyBorder="1" applyFont="1" applyNumberFormat="1">
      <alignment shrinkToFit="0" vertical="bottom" wrapText="0"/>
    </xf>
    <xf borderId="4" fillId="26" fontId="44" numFmtId="0" xfId="0" applyAlignment="1" applyBorder="1" applyFont="1">
      <alignment shrinkToFit="0" vertical="bottom" wrapText="0"/>
    </xf>
    <xf borderId="5" fillId="26" fontId="44" numFmtId="0" xfId="0" applyAlignment="1" applyBorder="1" applyFont="1">
      <alignment shrinkToFit="0" vertical="bottom" wrapText="0"/>
    </xf>
    <xf borderId="6" fillId="26" fontId="45" numFmtId="0" xfId="0" applyAlignment="1" applyBorder="1" applyFont="1">
      <alignment shrinkToFit="0" vertical="bottom" wrapText="0"/>
    </xf>
    <xf borderId="7" fillId="26" fontId="44" numFmtId="0" xfId="0" applyAlignment="1" applyBorder="1" applyFont="1">
      <alignment shrinkToFit="0" vertical="bottom" wrapText="0"/>
    </xf>
    <xf borderId="4" fillId="26" fontId="44" numFmtId="4" xfId="0" applyAlignment="1" applyBorder="1" applyFont="1" applyNumberFormat="1">
      <alignment shrinkToFit="0" vertical="bottom" wrapText="0"/>
    </xf>
    <xf borderId="4" fillId="20" fontId="40" numFmtId="10" xfId="0" applyAlignment="1" applyBorder="1" applyFont="1" applyNumberFormat="1">
      <alignment shrinkToFit="0" vertical="bottom" wrapText="0"/>
    </xf>
    <xf borderId="1" fillId="27" fontId="6" numFmtId="0" xfId="0" applyAlignment="1" applyBorder="1" applyFill="1" applyFont="1">
      <alignment shrinkToFit="0" vertical="bottom" wrapText="0"/>
    </xf>
    <xf borderId="4" fillId="26" fontId="44" numFmtId="10" xfId="0" applyAlignment="1" applyBorder="1" applyFont="1" applyNumberFormat="1">
      <alignment shrinkToFit="0" vertical="bottom" wrapText="0"/>
    </xf>
    <xf borderId="4" fillId="27" fontId="11" numFmtId="0" xfId="0" applyAlignment="1" applyBorder="1" applyFont="1">
      <alignment shrinkToFit="0" vertical="bottom" wrapText="0"/>
    </xf>
    <xf borderId="4" fillId="27" fontId="11" numFmtId="0" xfId="0" applyAlignment="1" applyBorder="1" applyFont="1">
      <alignment horizontal="center" shrinkToFit="0" vertical="bottom" wrapText="0"/>
    </xf>
    <xf borderId="5" fillId="27" fontId="11" numFmtId="0" xfId="0" applyAlignment="1" applyBorder="1" applyFont="1">
      <alignment horizontal="center" shrinkToFit="0" vertical="bottom" wrapText="0"/>
    </xf>
    <xf borderId="6" fillId="27" fontId="12" numFmtId="0" xfId="0" applyAlignment="1" applyBorder="1" applyFont="1">
      <alignment horizontal="center" shrinkToFit="0" vertical="bottom" wrapText="0"/>
    </xf>
    <xf borderId="7" fillId="27" fontId="11" numFmtId="0" xfId="0" applyAlignment="1" applyBorder="1" applyFont="1">
      <alignment horizontal="center" shrinkToFit="0" vertical="bottom" wrapText="0"/>
    </xf>
    <xf borderId="4" fillId="20" fontId="38" numFmtId="0" xfId="0" applyAlignment="1" applyBorder="1" applyFont="1">
      <alignment shrinkToFit="0" vertical="bottom" wrapText="0"/>
    </xf>
    <xf borderId="4" fillId="20" fontId="46" numFmtId="0" xfId="0" applyAlignment="1" applyBorder="1" applyFont="1">
      <alignment shrinkToFit="0" vertical="bottom" wrapText="0"/>
    </xf>
    <xf borderId="5" fillId="20" fontId="46" numFmtId="0" xfId="0" applyAlignment="1" applyBorder="1" applyFont="1">
      <alignment shrinkToFit="0" vertical="bottom" wrapText="0"/>
    </xf>
    <xf borderId="6" fillId="20" fontId="47" numFmtId="0" xfId="0" applyAlignment="1" applyBorder="1" applyFont="1">
      <alignment shrinkToFit="0" vertical="bottom" wrapText="0"/>
    </xf>
    <xf borderId="7" fillId="20" fontId="46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323850" cy="190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23850" cy="190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33400" cy="190500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190500" cy="190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90500" cy="19050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90500" cy="1905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9050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61950" cy="1905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90500" cy="1905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90500" cy="190500"/>
    <xdr:pic>
      <xdr:nvPicPr>
        <xdr:cNvPr id="0" name="image10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190500" cy="1905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9.0"/>
    <col customWidth="1" min="3" max="13" width="11.0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4</v>
      </c>
      <c r="C3" s="7"/>
      <c r="D3" s="7"/>
      <c r="E3" s="7"/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5</v>
      </c>
      <c r="H4" s="14">
        <f>AVERAGE(C27:M27)</f>
        <v>16.72727273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9" t="s">
        <v>6</v>
      </c>
      <c r="H5" s="14">
        <f>STDEV(C27:M27)</f>
        <v>5.336120484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s="9" t="s">
        <v>7</v>
      </c>
      <c r="H6" s="14">
        <f>(H4-3)/H5</f>
        <v>2.572519262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9" t="s">
        <v>8</v>
      </c>
      <c r="H7" s="14">
        <f>AVERAGE(D27:I27)</f>
        <v>16.36666667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B8" s="9" t="s">
        <v>9</v>
      </c>
      <c r="H8" s="14">
        <f>STDEV(D27:I27)</f>
        <v>5.367556862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B9" s="9" t="s">
        <v>10</v>
      </c>
      <c r="H9" s="14">
        <f>(H7-3)/H8</f>
        <v>2.490270156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B10" s="9" t="s">
        <v>11</v>
      </c>
      <c r="H10" s="15">
        <f>(C19/M19)^(1/10)-1</f>
        <v>0.1132986914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B11" s="9" t="s">
        <v>12</v>
      </c>
      <c r="H11" s="16">
        <v>-49.0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13</v>
      </c>
      <c r="H12" s="17">
        <v>-0.398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1"/>
      <c r="B13" s="31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1" t="s">
        <v>14</v>
      </c>
      <c r="B14" s="41" t="s">
        <v>15</v>
      </c>
      <c r="C14" s="44">
        <v>2025.0</v>
      </c>
      <c r="D14" s="46">
        <v>2024.0</v>
      </c>
      <c r="E14" s="46">
        <v>2023.0</v>
      </c>
      <c r="F14" s="48">
        <v>2022.0</v>
      </c>
      <c r="G14" s="50">
        <v>2021.0</v>
      </c>
      <c r="H14" s="50">
        <v>2020.0</v>
      </c>
      <c r="I14" s="50">
        <v>2019.0</v>
      </c>
      <c r="J14" s="50">
        <v>2018.0</v>
      </c>
      <c r="K14" s="50">
        <v>2017.0</v>
      </c>
      <c r="L14" s="50">
        <v>2016.0</v>
      </c>
      <c r="M14" s="50">
        <v>2015.0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5" t="s">
        <v>16</v>
      </c>
      <c r="B15" s="58"/>
      <c r="C15" s="59"/>
      <c r="D15" s="61"/>
      <c r="E15" s="61"/>
      <c r="F15" s="64"/>
      <c r="G15" s="58"/>
      <c r="H15" s="58"/>
      <c r="I15" s="58"/>
      <c r="J15" s="58"/>
      <c r="K15" s="58"/>
      <c r="L15" s="58"/>
      <c r="M15" s="5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2" t="s">
        <v>17</v>
      </c>
      <c r="B16" s="52" t="s">
        <v>18</v>
      </c>
      <c r="C16" s="67">
        <v>843341.0</v>
      </c>
      <c r="D16" s="68">
        <v>698062.0</v>
      </c>
      <c r="E16" s="68">
        <v>555738.0</v>
      </c>
      <c r="F16" s="69">
        <v>506847.0</v>
      </c>
      <c r="G16" s="70">
        <v>416902.0</v>
      </c>
      <c r="H16" s="70">
        <v>382926.0</v>
      </c>
      <c r="I16" s="70">
        <v>354689.0</v>
      </c>
      <c r="J16" s="70">
        <v>324780.0</v>
      </c>
      <c r="K16" s="70">
        <v>275531.0</v>
      </c>
      <c r="L16" s="70">
        <v>254776.0</v>
      </c>
      <c r="M16" s="70">
        <v>210221.0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2" t="s">
        <v>21</v>
      </c>
      <c r="B17" s="52" t="s">
        <v>18</v>
      </c>
      <c r="C17" s="67">
        <v>506201.0</v>
      </c>
      <c r="D17" s="68">
        <v>444978.0</v>
      </c>
      <c r="E17" s="68">
        <v>396078.0</v>
      </c>
      <c r="F17" s="69">
        <v>354774.0</v>
      </c>
      <c r="G17" s="70">
        <v>286380.0</v>
      </c>
      <c r="H17" s="70">
        <v>268202.0</v>
      </c>
      <c r="I17" s="70">
        <v>246944.0</v>
      </c>
      <c r="J17" s="70">
        <v>231391.0</v>
      </c>
      <c r="K17" s="70">
        <v>196596.0</v>
      </c>
      <c r="L17" s="70">
        <v>175025.0</v>
      </c>
      <c r="M17" s="70">
        <v>143088.0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2" t="s">
        <v>20</v>
      </c>
      <c r="B18" s="52" t="s">
        <v>18</v>
      </c>
      <c r="C18" s="67">
        <v>631642.0</v>
      </c>
      <c r="D18" s="68">
        <v>514204.0</v>
      </c>
      <c r="E18" s="68">
        <v>392510.0</v>
      </c>
      <c r="F18" s="69">
        <v>331890.0</v>
      </c>
      <c r="G18" s="70">
        <v>282064.0</v>
      </c>
      <c r="H18" s="70">
        <v>254781.0</v>
      </c>
      <c r="I18" s="70">
        <v>246704.0</v>
      </c>
      <c r="J18" s="70">
        <v>205170.0</v>
      </c>
      <c r="K18" s="70">
        <v>183493.0</v>
      </c>
      <c r="L18" s="70">
        <v>174695.0</v>
      </c>
      <c r="M18" s="70">
        <v>143729.0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2" t="s">
        <v>22</v>
      </c>
      <c r="B19" s="52" t="s">
        <v>18</v>
      </c>
      <c r="C19" s="67">
        <v>61102.0</v>
      </c>
      <c r="D19" s="68">
        <v>46121.0</v>
      </c>
      <c r="E19" s="68">
        <v>37220.0</v>
      </c>
      <c r="F19" s="69">
        <v>32845.0</v>
      </c>
      <c r="G19" s="70">
        <v>31224.0</v>
      </c>
      <c r="H19" s="70">
        <v>28818.0</v>
      </c>
      <c r="I19" s="70">
        <v>25416.0</v>
      </c>
      <c r="J19" s="70">
        <v>24430.0</v>
      </c>
      <c r="K19" s="70">
        <v>24869.0</v>
      </c>
      <c r="L19" s="70">
        <v>20653.0</v>
      </c>
      <c r="M19" s="70">
        <v>20890.0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5" t="s">
        <v>23</v>
      </c>
      <c r="B20" s="58"/>
      <c r="C20" s="59"/>
      <c r="D20" s="72"/>
      <c r="E20" s="72"/>
      <c r="F20" s="64"/>
      <c r="G20" s="58"/>
      <c r="H20" s="58"/>
      <c r="I20" s="58"/>
      <c r="J20" s="58"/>
      <c r="K20" s="58"/>
      <c r="L20" s="58"/>
      <c r="M20" s="5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2" t="s">
        <v>25</v>
      </c>
      <c r="B21" s="52" t="s">
        <v>18</v>
      </c>
      <c r="C21" s="67">
        <v>2847.0</v>
      </c>
      <c r="D21" s="68">
        <v>14742.0</v>
      </c>
      <c r="E21" s="68">
        <v>15831.0</v>
      </c>
      <c r="F21" s="69">
        <v>12359.0</v>
      </c>
      <c r="G21" s="70">
        <v>12048.0</v>
      </c>
      <c r="H21" s="70">
        <v>8363.0</v>
      </c>
      <c r="I21" s="70">
        <v>10832.0</v>
      </c>
      <c r="J21" s="70">
        <v>9201.0</v>
      </c>
      <c r="K21" s="70">
        <v>7495.0</v>
      </c>
      <c r="L21" s="70">
        <v>6477.0</v>
      </c>
      <c r="M21" s="70">
        <v>5506.0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2" t="s">
        <v>26</v>
      </c>
      <c r="B22" s="52" t="s">
        <v>18</v>
      </c>
      <c r="C22" s="67">
        <v>9443.0</v>
      </c>
      <c r="D22" s="68">
        <v>8431.0</v>
      </c>
      <c r="E22" s="68">
        <v>7063.0</v>
      </c>
      <c r="F22" s="69">
        <v>8624.0</v>
      </c>
      <c r="G22" s="70">
        <v>6776.0</v>
      </c>
      <c r="H22" s="70">
        <v>4936.0</v>
      </c>
      <c r="I22" s="70">
        <v>5367.0</v>
      </c>
      <c r="J22" s="70">
        <v>4859.0</v>
      </c>
      <c r="K22" s="70">
        <v>4630.0</v>
      </c>
      <c r="L22" s="70">
        <v>3173.0</v>
      </c>
      <c r="M22" s="70">
        <v>2888.0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2" t="s">
        <v>27</v>
      </c>
      <c r="B23" s="52" t="s">
        <v>18</v>
      </c>
      <c r="C23" s="67">
        <v>13059.0</v>
      </c>
      <c r="D23" s="68">
        <v>10851.0</v>
      </c>
      <c r="E23" s="68">
        <v>6151.0</v>
      </c>
      <c r="F23" s="69">
        <v>4508.0</v>
      </c>
      <c r="G23" s="70">
        <v>4743.0</v>
      </c>
      <c r="H23" s="70">
        <v>4012.0</v>
      </c>
      <c r="I23" s="70">
        <v>2472.0</v>
      </c>
      <c r="J23" s="70">
        <v>2018.0</v>
      </c>
      <c r="K23" s="70">
        <v>3628.0</v>
      </c>
      <c r="L23" s="70">
        <v>3956.0</v>
      </c>
      <c r="M23" s="70">
        <v>3600.0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5" t="s">
        <v>28</v>
      </c>
      <c r="B24" s="58"/>
      <c r="C24" s="59"/>
      <c r="D24" s="72"/>
      <c r="E24" s="72"/>
      <c r="F24" s="64"/>
      <c r="G24" s="58"/>
      <c r="H24" s="58"/>
      <c r="I24" s="58"/>
      <c r="J24" s="58"/>
      <c r="K24" s="58"/>
      <c r="L24" s="58"/>
      <c r="M24" s="5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2" t="s">
        <v>29</v>
      </c>
      <c r="B25" s="52" t="s">
        <v>30</v>
      </c>
      <c r="C25" s="73">
        <v>8.6</v>
      </c>
      <c r="D25" s="74">
        <v>8.1</v>
      </c>
      <c r="E25" s="74">
        <v>5.0</v>
      </c>
      <c r="F25" s="75">
        <v>3.8</v>
      </c>
      <c r="G25" s="76">
        <v>4.4</v>
      </c>
      <c r="H25" s="76">
        <v>3.9</v>
      </c>
      <c r="I25" s="76">
        <v>2.4</v>
      </c>
      <c r="J25" s="76">
        <v>2.1</v>
      </c>
      <c r="K25" s="76">
        <v>4.1</v>
      </c>
      <c r="L25" s="76">
        <v>4.5</v>
      </c>
      <c r="M25" s="76">
        <v>4.1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52" t="s">
        <v>31</v>
      </c>
      <c r="B26" s="52" t="s">
        <v>32</v>
      </c>
      <c r="C26" s="73">
        <v>1.7</v>
      </c>
      <c r="D26" s="74">
        <v>1.7</v>
      </c>
      <c r="E26" s="74">
        <v>1.2</v>
      </c>
      <c r="F26" s="75">
        <v>1.0</v>
      </c>
      <c r="G26" s="76">
        <v>1.2</v>
      </c>
      <c r="H26" s="76">
        <v>1.1</v>
      </c>
      <c r="I26" s="76">
        <v>0.7</v>
      </c>
      <c r="J26" s="76">
        <v>0.7</v>
      </c>
      <c r="K26" s="76">
        <v>1.4</v>
      </c>
      <c r="L26" s="76">
        <v>1.7</v>
      </c>
      <c r="M26" s="76">
        <v>1.9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2" t="s">
        <v>33</v>
      </c>
      <c r="B27" s="52" t="s">
        <v>32</v>
      </c>
      <c r="C27" s="73">
        <v>24.4</v>
      </c>
      <c r="D27" s="74">
        <v>26.0</v>
      </c>
      <c r="E27" s="74">
        <v>17.6</v>
      </c>
      <c r="F27" s="75">
        <v>14.1</v>
      </c>
      <c r="G27" s="76">
        <v>15.8</v>
      </c>
      <c r="H27" s="76">
        <v>14.8</v>
      </c>
      <c r="I27" s="76">
        <v>9.9</v>
      </c>
      <c r="J27" s="76">
        <v>8.2</v>
      </c>
      <c r="K27" s="76">
        <v>15.9</v>
      </c>
      <c r="L27" s="76">
        <v>19.0</v>
      </c>
      <c r="M27" s="76">
        <v>18.3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55" t="s">
        <v>34</v>
      </c>
      <c r="B28" s="58"/>
      <c r="C28" s="59"/>
      <c r="D28" s="72"/>
      <c r="E28" s="72"/>
      <c r="F28" s="64"/>
      <c r="G28" s="58"/>
      <c r="H28" s="58"/>
      <c r="I28" s="58"/>
      <c r="J28" s="58"/>
      <c r="K28" s="58"/>
      <c r="L28" s="58"/>
      <c r="M28" s="5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52" t="s">
        <v>35</v>
      </c>
      <c r="B29" s="52" t="s">
        <v>32</v>
      </c>
      <c r="C29" s="73">
        <v>2.5</v>
      </c>
      <c r="D29" s="74">
        <v>3.7</v>
      </c>
      <c r="E29" s="74">
        <v>3.6</v>
      </c>
      <c r="F29" s="75">
        <v>3.9</v>
      </c>
      <c r="G29" s="76">
        <v>4.9</v>
      </c>
      <c r="H29" s="76">
        <v>4.0</v>
      </c>
      <c r="I29" s="76">
        <v>5.8</v>
      </c>
      <c r="J29" s="76">
        <v>5.3</v>
      </c>
      <c r="K29" s="76">
        <v>5.4</v>
      </c>
      <c r="L29" s="76">
        <v>6.0</v>
      </c>
      <c r="M29" s="76">
        <v>7.6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52" t="s">
        <v>36</v>
      </c>
      <c r="B30" s="52" t="s">
        <v>18</v>
      </c>
      <c r="C30" s="73">
        <v>12669.0</v>
      </c>
      <c r="D30" s="74">
        <v>16569.0</v>
      </c>
      <c r="E30" s="74">
        <v>14385.0</v>
      </c>
      <c r="F30" s="75">
        <v>13671.0</v>
      </c>
      <c r="G30" s="76">
        <v>13906.0</v>
      </c>
      <c r="H30" s="76">
        <v>10850.0</v>
      </c>
      <c r="I30" s="76">
        <v>14244.0</v>
      </c>
      <c r="J30" s="76">
        <v>12326.0</v>
      </c>
      <c r="K30" s="76">
        <v>10678.0</v>
      </c>
      <c r="L30" s="76">
        <v>10582.0</v>
      </c>
      <c r="M30" s="76">
        <v>10845.0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2" t="s">
        <v>37</v>
      </c>
      <c r="B31" s="52" t="s">
        <v>32</v>
      </c>
      <c r="C31" s="73">
        <v>127.0</v>
      </c>
      <c r="D31" s="74">
        <v>106.8</v>
      </c>
      <c r="E31" s="74">
        <v>110.1</v>
      </c>
      <c r="F31" s="75">
        <v>104.7</v>
      </c>
      <c r="G31" s="76">
        <v>90.1</v>
      </c>
      <c r="H31" s="76">
        <v>83.8</v>
      </c>
      <c r="I31" s="76">
        <v>71.0</v>
      </c>
      <c r="J31" s="76">
        <v>64.6</v>
      </c>
      <c r="K31" s="76">
        <v>56.7</v>
      </c>
      <c r="L31" s="76">
        <v>59.6</v>
      </c>
      <c r="M31" s="76">
        <v>57.5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2" t="s">
        <v>38</v>
      </c>
      <c r="B32" s="52" t="s">
        <v>32</v>
      </c>
      <c r="C32" s="73">
        <v>71.3</v>
      </c>
      <c r="D32" s="74">
        <v>74.7</v>
      </c>
      <c r="E32" s="74">
        <v>83.7</v>
      </c>
      <c r="F32" s="75">
        <v>83.2</v>
      </c>
      <c r="G32" s="76">
        <v>84.7</v>
      </c>
      <c r="H32" s="76">
        <v>74.7</v>
      </c>
      <c r="I32" s="76">
        <v>79.1</v>
      </c>
      <c r="J32" s="76">
        <v>82.5</v>
      </c>
      <c r="K32" s="76">
        <v>84.9</v>
      </c>
      <c r="L32" s="76">
        <v>80.4</v>
      </c>
      <c r="M32" s="76">
        <v>79.2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5" t="s">
        <v>39</v>
      </c>
      <c r="B33" s="58"/>
      <c r="C33" s="59"/>
      <c r="D33" s="72"/>
      <c r="E33" s="72"/>
      <c r="F33" s="64"/>
      <c r="G33" s="58"/>
      <c r="H33" s="58"/>
      <c r="I33" s="58"/>
      <c r="J33" s="58"/>
      <c r="K33" s="58"/>
      <c r="L33" s="58"/>
      <c r="M33" s="5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52" t="s">
        <v>40</v>
      </c>
      <c r="B34" s="52" t="s">
        <v>32</v>
      </c>
      <c r="C34" s="73">
        <v>15.7</v>
      </c>
      <c r="D34" s="74">
        <v>16.0</v>
      </c>
      <c r="E34" s="74">
        <v>15.8</v>
      </c>
      <c r="F34" s="75">
        <v>14.5</v>
      </c>
      <c r="G34" s="76">
        <v>14.2</v>
      </c>
      <c r="H34" s="76">
        <v>15.5</v>
      </c>
      <c r="I34" s="76">
        <v>15.2</v>
      </c>
      <c r="J34" s="76">
        <v>13.4</v>
      </c>
      <c r="K34" s="76">
        <v>14.7</v>
      </c>
      <c r="L34" s="76">
        <v>13.2</v>
      </c>
      <c r="M34" s="76">
        <v>13.2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2" t="s">
        <v>41</v>
      </c>
      <c r="B35" s="52" t="s">
        <v>32</v>
      </c>
      <c r="C35" s="73">
        <v>43.7</v>
      </c>
      <c r="D35" s="74">
        <v>42.1</v>
      </c>
      <c r="E35" s="74">
        <v>51.1</v>
      </c>
      <c r="F35" s="75">
        <v>51.9</v>
      </c>
      <c r="G35" s="76">
        <v>48.6</v>
      </c>
      <c r="H35" s="76">
        <v>57.9</v>
      </c>
      <c r="I35" s="76">
        <v>54.7</v>
      </c>
      <c r="J35" s="76">
        <v>58.0</v>
      </c>
      <c r="K35" s="76">
        <v>53.9</v>
      </c>
      <c r="L35" s="76">
        <v>47.6</v>
      </c>
      <c r="M35" s="76">
        <v>47.6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55" t="s">
        <v>42</v>
      </c>
      <c r="B36" s="58"/>
      <c r="C36" s="59"/>
      <c r="D36" s="72"/>
      <c r="E36" s="72"/>
      <c r="F36" s="64"/>
      <c r="G36" s="58"/>
      <c r="H36" s="58"/>
      <c r="I36" s="58"/>
      <c r="J36" s="58"/>
      <c r="K36" s="58"/>
      <c r="L36" s="58"/>
      <c r="M36" s="5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52" t="s">
        <v>43</v>
      </c>
      <c r="B37" s="52" t="s">
        <v>32</v>
      </c>
      <c r="C37" s="77">
        <f t="shared" ref="C37:M37" si="1">C30/C16*100</f>
        <v>1.502239308</v>
      </c>
      <c r="D37" s="81">
        <f t="shared" si="1"/>
        <v>2.373571402</v>
      </c>
      <c r="E37" s="81">
        <f t="shared" si="1"/>
        <v>2.588449953</v>
      </c>
      <c r="F37" s="79">
        <f t="shared" si="1"/>
        <v>2.697263671</v>
      </c>
      <c r="G37" s="80">
        <f t="shared" si="1"/>
        <v>3.335556078</v>
      </c>
      <c r="H37" s="80">
        <f t="shared" si="1"/>
        <v>2.833445627</v>
      </c>
      <c r="I37" s="80">
        <f t="shared" si="1"/>
        <v>4.015912532</v>
      </c>
      <c r="J37" s="80">
        <f t="shared" si="1"/>
        <v>3.795184433</v>
      </c>
      <c r="K37" s="80">
        <f t="shared" si="1"/>
        <v>3.875425996</v>
      </c>
      <c r="L37" s="80">
        <f t="shared" si="1"/>
        <v>4.153452445</v>
      </c>
      <c r="M37" s="80">
        <f t="shared" si="1"/>
        <v>5.158856632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2" t="s">
        <v>44</v>
      </c>
      <c r="B38" s="52" t="s">
        <v>32</v>
      </c>
      <c r="C38" s="86">
        <f t="shared" ref="C38:L38" si="2">C23/D23-1</f>
        <v>0.2034835499</v>
      </c>
      <c r="D38" s="87">
        <f t="shared" si="2"/>
        <v>0.7641033978</v>
      </c>
      <c r="E38" s="87">
        <f t="shared" si="2"/>
        <v>0.3644631766</v>
      </c>
      <c r="F38" s="88">
        <f t="shared" si="2"/>
        <v>-0.0495467004</v>
      </c>
      <c r="G38" s="89">
        <f t="shared" si="2"/>
        <v>0.1822033898</v>
      </c>
      <c r="H38" s="89">
        <f t="shared" si="2"/>
        <v>0.6229773463</v>
      </c>
      <c r="I38" s="89">
        <f t="shared" si="2"/>
        <v>0.224975223</v>
      </c>
      <c r="J38" s="89">
        <f t="shared" si="2"/>
        <v>-0.4437706725</v>
      </c>
      <c r="K38" s="89">
        <f t="shared" si="2"/>
        <v>-0.08291203236</v>
      </c>
      <c r="L38" s="89">
        <f t="shared" si="2"/>
        <v>0.09888888889</v>
      </c>
      <c r="M38" s="5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2" t="s">
        <v>47</v>
      </c>
      <c r="B39" s="52" t="s">
        <v>32</v>
      </c>
      <c r="C39" s="86">
        <f t="shared" ref="C39:L39" si="3">C16/D16-1</f>
        <v>0.2081176171</v>
      </c>
      <c r="D39" s="87">
        <f t="shared" si="3"/>
        <v>0.2560990971</v>
      </c>
      <c r="E39" s="87">
        <f t="shared" si="3"/>
        <v>0.09646106221</v>
      </c>
      <c r="F39" s="88">
        <f t="shared" si="3"/>
        <v>0.2157461466</v>
      </c>
      <c r="G39" s="89">
        <f t="shared" si="3"/>
        <v>0.08872732591</v>
      </c>
      <c r="H39" s="89">
        <f t="shared" si="3"/>
        <v>0.07961058843</v>
      </c>
      <c r="I39" s="89">
        <f t="shared" si="3"/>
        <v>0.09209003017</v>
      </c>
      <c r="J39" s="89">
        <f t="shared" si="3"/>
        <v>0.1787421379</v>
      </c>
      <c r="K39" s="89">
        <f t="shared" si="3"/>
        <v>0.08146371715</v>
      </c>
      <c r="L39" s="89">
        <f t="shared" si="3"/>
        <v>0.2119436212</v>
      </c>
      <c r="M39" s="5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D43" s="96"/>
      <c r="E43" s="96"/>
      <c r="F43" s="96"/>
      <c r="G43" s="96"/>
      <c r="H43" s="96"/>
      <c r="I43" s="96"/>
      <c r="J43" s="96"/>
      <c r="K43" s="96"/>
      <c r="L43" s="96"/>
      <c r="M43" s="9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D46" s="10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D51" s="10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D52" s="10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12:G12"/>
    <mergeCell ref="B2:H2"/>
    <mergeCell ref="B3:H3"/>
    <mergeCell ref="A4:A10"/>
    <mergeCell ref="B4:G4"/>
    <mergeCell ref="B5:G5"/>
    <mergeCell ref="B6:G6"/>
    <mergeCell ref="B7:G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9.0"/>
    <col customWidth="1" min="3" max="13" width="11.0"/>
  </cols>
  <sheetData>
    <row r="2">
      <c r="B2" s="2" t="s">
        <v>0</v>
      </c>
    </row>
    <row r="3">
      <c r="A3" s="3"/>
      <c r="B3" s="6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4">
        <f>AVERAGE(C28:M28)</f>
        <v>-6.019090909</v>
      </c>
    </row>
    <row r="5">
      <c r="B5" s="9" t="s">
        <v>6</v>
      </c>
      <c r="H5" s="14">
        <f>STDEV(C28:M28)</f>
        <v>44.51236939</v>
      </c>
    </row>
    <row r="6">
      <c r="B6" s="9" t="s">
        <v>7</v>
      </c>
      <c r="H6" s="14">
        <f>(H4-3)/H5</f>
        <v>-0.2026198792</v>
      </c>
    </row>
    <row r="7">
      <c r="B7" s="9" t="s">
        <v>8</v>
      </c>
      <c r="H7" s="14">
        <f>AVERAGE(D28:I28)</f>
        <v>6.085</v>
      </c>
    </row>
    <row r="8">
      <c r="B8" s="9" t="s">
        <v>9</v>
      </c>
      <c r="H8" s="14">
        <f>STDEV(D28:I28)</f>
        <v>5.451222799</v>
      </c>
    </row>
    <row r="9">
      <c r="B9" s="9" t="s">
        <v>10</v>
      </c>
      <c r="H9" s="14">
        <f>(H7-3)/H8</f>
        <v>0.5659280704</v>
      </c>
    </row>
    <row r="10">
      <c r="B10" s="9" t="s">
        <v>11</v>
      </c>
      <c r="H10" s="15">
        <f>(C20/M20)^(1/10)-1</f>
        <v>-0.07523732427</v>
      </c>
    </row>
    <row r="11">
      <c r="B11" s="9" t="s">
        <v>12</v>
      </c>
      <c r="H11" s="16">
        <v>-844.2</v>
      </c>
    </row>
    <row r="12">
      <c r="B12" s="9" t="s">
        <v>13</v>
      </c>
      <c r="H12" s="17">
        <f>SLOPE(C31:M31,C15:M15)</f>
        <v>4.346909091</v>
      </c>
    </row>
    <row r="14">
      <c r="A14" s="18"/>
    </row>
    <row r="15">
      <c r="A15" s="20" t="s">
        <v>14</v>
      </c>
      <c r="B15" s="20" t="s">
        <v>15</v>
      </c>
      <c r="C15" s="22">
        <v>2025.0</v>
      </c>
      <c r="D15" s="24">
        <v>2024.0</v>
      </c>
      <c r="E15" s="24">
        <v>2023.0</v>
      </c>
      <c r="F15" s="27">
        <v>2022.0</v>
      </c>
      <c r="G15" s="28">
        <v>2021.0</v>
      </c>
      <c r="H15" s="28">
        <v>2020.0</v>
      </c>
      <c r="I15" s="28">
        <v>2019.0</v>
      </c>
      <c r="J15" s="28">
        <v>2018.0</v>
      </c>
      <c r="K15" s="28">
        <v>2017.0</v>
      </c>
      <c r="L15" s="28">
        <v>2016.0</v>
      </c>
      <c r="M15" s="28">
        <v>2015.0</v>
      </c>
    </row>
    <row r="16">
      <c r="A16" s="35" t="s">
        <v>16</v>
      </c>
      <c r="B16" s="38"/>
      <c r="C16" s="40"/>
      <c r="D16" s="42"/>
      <c r="E16" s="42"/>
      <c r="F16" s="45"/>
      <c r="G16" s="38"/>
      <c r="H16" s="38"/>
      <c r="I16" s="38"/>
      <c r="J16" s="38"/>
      <c r="K16" s="38"/>
      <c r="L16" s="38"/>
      <c r="M16" s="38"/>
    </row>
    <row r="17">
      <c r="A17" s="52" t="s">
        <v>17</v>
      </c>
      <c r="B17" s="53" t="s">
        <v>18</v>
      </c>
      <c r="C17" s="54">
        <v>586402.1</v>
      </c>
      <c r="D17" s="57">
        <v>565693.6</v>
      </c>
      <c r="E17" s="57">
        <v>529936.5</v>
      </c>
      <c r="F17" s="62">
        <v>470548.02</v>
      </c>
      <c r="G17" s="65">
        <v>410402.92</v>
      </c>
      <c r="H17" s="65">
        <v>363412.0</v>
      </c>
      <c r="I17" s="65">
        <v>316950.0</v>
      </c>
      <c r="J17" s="65">
        <v>283073.0</v>
      </c>
      <c r="K17" s="65">
        <v>253249.0</v>
      </c>
      <c r="L17" s="65">
        <v>200251.06</v>
      </c>
      <c r="M17" s="65">
        <v>180737.39</v>
      </c>
    </row>
    <row r="18">
      <c r="A18" s="52" t="s">
        <v>19</v>
      </c>
      <c r="B18" s="53" t="s">
        <v>18</v>
      </c>
      <c r="C18" s="54">
        <v>443295.0</v>
      </c>
      <c r="D18" s="57">
        <v>447266.1</v>
      </c>
      <c r="E18" s="57">
        <v>414982.8</v>
      </c>
      <c r="F18" s="62">
        <v>355858.87</v>
      </c>
      <c r="G18" s="65">
        <v>306333.35</v>
      </c>
      <c r="H18" s="65">
        <v>260650.0</v>
      </c>
      <c r="I18" s="65">
        <v>228589.0</v>
      </c>
      <c r="J18" s="65">
        <v>206930.0</v>
      </c>
      <c r="K18" s="65">
        <v>179264.0</v>
      </c>
      <c r="L18" s="65">
        <v>141258.76</v>
      </c>
      <c r="M18" s="65">
        <v>125668.04</v>
      </c>
    </row>
    <row r="19">
      <c r="A19" s="52" t="s">
        <v>20</v>
      </c>
      <c r="B19" s="53" t="s">
        <v>18</v>
      </c>
      <c r="C19" s="54">
        <v>517162.0</v>
      </c>
      <c r="D19" s="57">
        <v>474592.0</v>
      </c>
      <c r="E19" s="57">
        <v>442071.4</v>
      </c>
      <c r="F19" s="62">
        <v>375552.71</v>
      </c>
      <c r="G19" s="65">
        <v>332751.26</v>
      </c>
      <c r="H19" s="65">
        <v>296374.0</v>
      </c>
      <c r="I19" s="65">
        <v>258368.0</v>
      </c>
      <c r="J19" s="65">
        <v>226364.0</v>
      </c>
      <c r="K19" s="65">
        <v>200206.0</v>
      </c>
      <c r="L19" s="65">
        <v>160132.62</v>
      </c>
      <c r="M19" s="65">
        <v>146848.21</v>
      </c>
    </row>
    <row r="20">
      <c r="A20" s="52" t="s">
        <v>22</v>
      </c>
      <c r="B20" s="53" t="s">
        <v>18</v>
      </c>
      <c r="C20" s="54">
        <v>5658.3</v>
      </c>
      <c r="D20" s="57">
        <v>31045.4</v>
      </c>
      <c r="E20" s="57">
        <v>36125.3</v>
      </c>
      <c r="F20" s="62">
        <v>33609.0</v>
      </c>
      <c r="G20" s="65">
        <v>30236.31</v>
      </c>
      <c r="H20" s="65">
        <v>25217.0</v>
      </c>
      <c r="I20" s="65">
        <v>24597.0</v>
      </c>
      <c r="J20" s="65">
        <v>22116.0</v>
      </c>
      <c r="K20" s="65">
        <v>20539.0</v>
      </c>
      <c r="L20" s="65">
        <v>13922.4</v>
      </c>
      <c r="M20" s="65">
        <v>12370.38</v>
      </c>
    </row>
    <row r="21" ht="15.75" customHeight="1">
      <c r="A21" s="35" t="s">
        <v>23</v>
      </c>
      <c r="B21" s="71"/>
      <c r="C21" s="40"/>
      <c r="D21" s="42"/>
      <c r="E21" s="42"/>
      <c r="F21" s="45"/>
      <c r="G21" s="38"/>
      <c r="H21" s="38"/>
      <c r="I21" s="38"/>
      <c r="J21" s="38"/>
      <c r="K21" s="38"/>
      <c r="L21" s="38"/>
      <c r="M21" s="38"/>
    </row>
    <row r="22" ht="15.75" customHeight="1">
      <c r="A22" s="52" t="s">
        <v>25</v>
      </c>
      <c r="B22" s="53" t="s">
        <v>18</v>
      </c>
      <c r="C22" s="54">
        <v>-22094.7</v>
      </c>
      <c r="D22" s="57">
        <v>2733.6</v>
      </c>
      <c r="E22" s="57">
        <v>8377.0</v>
      </c>
      <c r="F22" s="62">
        <v>8099.0</v>
      </c>
      <c r="G22" s="65">
        <v>7165.0</v>
      </c>
      <c r="H22" s="65">
        <v>2864.0</v>
      </c>
      <c r="I22" s="65">
        <v>6398.0</v>
      </c>
      <c r="J22" s="65">
        <v>4560.0</v>
      </c>
      <c r="K22" s="65">
        <v>5492.0</v>
      </c>
      <c r="L22" s="65">
        <v>4405.43</v>
      </c>
      <c r="M22" s="65">
        <v>3774.51</v>
      </c>
    </row>
    <row r="23" ht="15.75" customHeight="1">
      <c r="A23" s="52" t="s">
        <v>26</v>
      </c>
      <c r="B23" s="53" t="s">
        <v>18</v>
      </c>
      <c r="C23" s="54">
        <v>10182.5</v>
      </c>
      <c r="D23" s="57">
        <v>8823.6</v>
      </c>
      <c r="E23" s="57">
        <v>7282.6</v>
      </c>
      <c r="F23" s="62">
        <v>7458.0</v>
      </c>
      <c r="G23" s="65">
        <v>7188.0</v>
      </c>
      <c r="H23" s="65">
        <v>5560.0</v>
      </c>
      <c r="I23" s="65">
        <v>4722.0</v>
      </c>
      <c r="J23" s="65">
        <v>4441.0</v>
      </c>
      <c r="K23" s="65">
        <v>4270.0</v>
      </c>
      <c r="L23" s="65">
        <v>4247.43</v>
      </c>
      <c r="M23" s="65">
        <v>4305.47</v>
      </c>
    </row>
    <row r="24" ht="15.75" customHeight="1">
      <c r="A24" s="52" t="s">
        <v>27</v>
      </c>
      <c r="B24" s="53" t="s">
        <v>18</v>
      </c>
      <c r="C24" s="54">
        <v>-25616.9</v>
      </c>
      <c r="D24" s="57">
        <v>-1024.7</v>
      </c>
      <c r="E24" s="57">
        <v>3005.2</v>
      </c>
      <c r="F24" s="62">
        <v>3442.0</v>
      </c>
      <c r="G24" s="65">
        <v>2541.0</v>
      </c>
      <c r="H24" s="65">
        <v>562.0</v>
      </c>
      <c r="I24" s="65">
        <v>2444.0</v>
      </c>
      <c r="J24" s="65">
        <v>1570.0</v>
      </c>
      <c r="K24" s="65">
        <v>2068.0</v>
      </c>
      <c r="L24" s="65">
        <v>1582.53</v>
      </c>
      <c r="M24" s="65">
        <v>1057.14</v>
      </c>
    </row>
    <row r="25" ht="15.75" customHeight="1">
      <c r="A25" s="35" t="s">
        <v>28</v>
      </c>
      <c r="B25" s="71"/>
      <c r="C25" s="40"/>
      <c r="D25" s="42"/>
      <c r="E25" s="42"/>
      <c r="F25" s="45"/>
      <c r="G25" s="38"/>
      <c r="H25" s="38"/>
      <c r="I25" s="38"/>
      <c r="J25" s="38"/>
      <c r="K25" s="38"/>
      <c r="L25" s="38"/>
      <c r="M25" s="38"/>
    </row>
    <row r="26" ht="15.75" customHeight="1">
      <c r="A26" s="52" t="s">
        <v>29</v>
      </c>
      <c r="B26" s="53" t="s">
        <v>30</v>
      </c>
      <c r="C26" s="77">
        <v>-13.33</v>
      </c>
      <c r="D26" s="78">
        <v>-0.53</v>
      </c>
      <c r="E26" s="78">
        <v>1.56</v>
      </c>
      <c r="F26" s="79">
        <v>1.93</v>
      </c>
      <c r="G26" s="80">
        <v>1.42</v>
      </c>
      <c r="H26" s="80">
        <v>0.35</v>
      </c>
      <c r="I26" s="80">
        <v>1.51</v>
      </c>
      <c r="J26" s="80">
        <v>1.07</v>
      </c>
      <c r="K26" s="80">
        <v>1.54</v>
      </c>
      <c r="L26" s="80">
        <v>2.81</v>
      </c>
      <c r="M26" s="80">
        <v>1.87</v>
      </c>
    </row>
    <row r="27" ht="15.75" customHeight="1">
      <c r="A27" s="52" t="s">
        <v>31</v>
      </c>
      <c r="B27" s="53" t="s">
        <v>32</v>
      </c>
      <c r="C27" s="77">
        <v>-4.45</v>
      </c>
      <c r="D27" s="78">
        <v>-0.19</v>
      </c>
      <c r="E27" s="78">
        <v>0.57</v>
      </c>
      <c r="F27" s="79">
        <v>0.78</v>
      </c>
      <c r="G27" s="80">
        <v>0.61</v>
      </c>
      <c r="H27" s="80">
        <v>0.2</v>
      </c>
      <c r="I27" s="80">
        <v>0.8</v>
      </c>
      <c r="J27" s="80">
        <v>0.6</v>
      </c>
      <c r="K27" s="80">
        <v>0.9</v>
      </c>
      <c r="L27" s="80">
        <v>0.65</v>
      </c>
      <c r="M27" s="80">
        <v>0.53</v>
      </c>
    </row>
    <row r="28" ht="15.75" customHeight="1">
      <c r="A28" s="52" t="s">
        <v>33</v>
      </c>
      <c r="B28" s="53" t="s">
        <v>32</v>
      </c>
      <c r="C28" s="77">
        <v>-139.59</v>
      </c>
      <c r="D28" s="78">
        <v>-3.25</v>
      </c>
      <c r="E28" s="78">
        <v>8.32</v>
      </c>
      <c r="F28" s="79">
        <v>10.24</v>
      </c>
      <c r="G28" s="80">
        <v>8.4</v>
      </c>
      <c r="H28" s="80">
        <v>2.3</v>
      </c>
      <c r="I28" s="80">
        <v>10.5</v>
      </c>
      <c r="J28" s="80">
        <v>7.4</v>
      </c>
      <c r="K28" s="80">
        <v>12.4</v>
      </c>
      <c r="L28" s="80">
        <v>9.46</v>
      </c>
      <c r="M28" s="80">
        <v>7.61</v>
      </c>
    </row>
    <row r="29" ht="15.75" customHeight="1">
      <c r="A29" s="35" t="s">
        <v>34</v>
      </c>
      <c r="B29" s="71"/>
      <c r="C29" s="40"/>
      <c r="D29" s="42"/>
      <c r="E29" s="42"/>
      <c r="F29" s="45"/>
      <c r="G29" s="38"/>
      <c r="H29" s="38"/>
      <c r="I29" s="38"/>
      <c r="J29" s="38"/>
      <c r="K29" s="38"/>
      <c r="L29" s="38"/>
      <c r="M29" s="38"/>
    </row>
    <row r="30" ht="15.75" customHeight="1">
      <c r="A30" s="52" t="s">
        <v>38</v>
      </c>
      <c r="B30" s="53" t="s">
        <v>32</v>
      </c>
      <c r="C30" s="77">
        <v>84.19</v>
      </c>
      <c r="D30" s="78">
        <v>91.34</v>
      </c>
      <c r="E30" s="78">
        <v>93.9</v>
      </c>
      <c r="F30" s="79">
        <v>94.76</v>
      </c>
      <c r="G30" s="80">
        <v>92.06</v>
      </c>
      <c r="H30" s="80">
        <v>82.4</v>
      </c>
      <c r="I30" s="80">
        <v>84.08</v>
      </c>
      <c r="J30" s="80">
        <v>86.83</v>
      </c>
      <c r="K30" s="80">
        <v>85.04</v>
      </c>
      <c r="L30" s="80">
        <v>85.62</v>
      </c>
      <c r="M30" s="80">
        <v>83.96</v>
      </c>
    </row>
    <row r="31" ht="15.75" customHeight="1">
      <c r="A31" s="52" t="s">
        <v>35</v>
      </c>
      <c r="B31" s="53" t="s">
        <v>32</v>
      </c>
      <c r="C31" s="77">
        <v>61.47</v>
      </c>
      <c r="D31" s="78">
        <v>54.97</v>
      </c>
      <c r="E31" s="78">
        <v>7.99</v>
      </c>
      <c r="F31" s="79">
        <v>5.61</v>
      </c>
      <c r="G31" s="80">
        <v>6.09</v>
      </c>
      <c r="H31" s="80">
        <v>3.97</v>
      </c>
      <c r="I31" s="80">
        <v>5.37</v>
      </c>
      <c r="J31" s="80">
        <v>6.16</v>
      </c>
      <c r="K31" s="80">
        <v>6.4</v>
      </c>
      <c r="L31" s="80">
        <v>5.29</v>
      </c>
      <c r="M31" s="80">
        <v>6.46</v>
      </c>
    </row>
    <row r="32" ht="15.75" customHeight="1">
      <c r="A32" s="52" t="s">
        <v>37</v>
      </c>
      <c r="B32" s="53" t="s">
        <v>32</v>
      </c>
      <c r="C32" s="77">
        <v>2.91</v>
      </c>
      <c r="D32" s="78">
        <v>5.46</v>
      </c>
      <c r="E32" s="78">
        <v>44.0</v>
      </c>
      <c r="F32" s="79">
        <v>66.11</v>
      </c>
      <c r="G32" s="80">
        <v>54.47</v>
      </c>
      <c r="H32" s="80">
        <v>75.8</v>
      </c>
      <c r="I32" s="80">
        <v>49.2</v>
      </c>
      <c r="J32" s="80">
        <v>46.7</v>
      </c>
      <c r="K32" s="80">
        <v>51.5</v>
      </c>
      <c r="L32" s="80">
        <v>32.48</v>
      </c>
      <c r="M32" s="80">
        <v>33.92</v>
      </c>
    </row>
    <row r="33" ht="15.75" customHeight="1">
      <c r="A33" s="35" t="s">
        <v>39</v>
      </c>
      <c r="B33" s="71"/>
      <c r="C33" s="40"/>
      <c r="D33" s="42"/>
      <c r="E33" s="42"/>
      <c r="F33" s="45"/>
      <c r="G33" s="38"/>
      <c r="H33" s="38"/>
      <c r="I33" s="38"/>
      <c r="J33" s="38"/>
      <c r="K33" s="38"/>
      <c r="L33" s="38"/>
      <c r="M33" s="38"/>
    </row>
    <row r="34" ht="15.75" customHeight="1">
      <c r="A34" s="52" t="s">
        <v>45</v>
      </c>
      <c r="B34" s="53" t="s">
        <v>32</v>
      </c>
      <c r="C34" s="77">
        <v>2.45</v>
      </c>
      <c r="D34" s="78">
        <v>7.96</v>
      </c>
      <c r="E34" s="78">
        <v>12.74</v>
      </c>
      <c r="F34" s="79">
        <v>13.62</v>
      </c>
      <c r="G34" s="80">
        <v>13.89</v>
      </c>
      <c r="H34" s="80">
        <v>12.96</v>
      </c>
      <c r="I34" s="80">
        <v>13.42</v>
      </c>
      <c r="J34" s="80">
        <v>12.99</v>
      </c>
      <c r="K34" s="80">
        <v>13.06</v>
      </c>
      <c r="L34" s="80">
        <v>11.73</v>
      </c>
      <c r="M34" s="80">
        <v>10.24</v>
      </c>
    </row>
    <row r="35" ht="15.75" customHeight="1">
      <c r="A35" s="52" t="s">
        <v>46</v>
      </c>
      <c r="B35" s="53" t="s">
        <v>32</v>
      </c>
      <c r="C35" s="77">
        <v>-101.27</v>
      </c>
      <c r="D35" s="78">
        <v>98.73</v>
      </c>
      <c r="E35" s="78">
        <v>65.3</v>
      </c>
      <c r="F35" s="79">
        <v>54.17</v>
      </c>
      <c r="G35" s="80">
        <v>47.05</v>
      </c>
      <c r="H35" s="80">
        <v>65.4</v>
      </c>
      <c r="I35" s="80">
        <v>54.9</v>
      </c>
      <c r="J35" s="52"/>
      <c r="K35" s="52"/>
      <c r="L35" s="80">
        <v>60.02</v>
      </c>
      <c r="M35" s="80">
        <v>55.3</v>
      </c>
    </row>
    <row r="36" ht="15.75" customHeight="1">
      <c r="A36" s="35" t="s">
        <v>49</v>
      </c>
      <c r="B36" s="71"/>
      <c r="C36" s="40"/>
      <c r="D36" s="42"/>
      <c r="E36" s="42"/>
      <c r="F36" s="45"/>
      <c r="G36" s="38"/>
      <c r="H36" s="38"/>
      <c r="I36" s="38"/>
      <c r="J36" s="38"/>
      <c r="K36" s="38"/>
      <c r="L36" s="38"/>
      <c r="M36" s="38"/>
    </row>
    <row r="37" ht="15.75" customHeight="1">
      <c r="A37" s="52" t="s">
        <v>50</v>
      </c>
      <c r="B37" s="53" t="s">
        <v>18</v>
      </c>
      <c r="C37" s="67">
        <f t="shared" ref="C37:M37" si="1">C31/100*C18</f>
        <v>272493.4365</v>
      </c>
      <c r="D37" s="97">
        <f t="shared" si="1"/>
        <v>245862.1752</v>
      </c>
      <c r="E37" s="97">
        <f t="shared" si="1"/>
        <v>33157.12572</v>
      </c>
      <c r="F37" s="69">
        <f t="shared" si="1"/>
        <v>19963.68261</v>
      </c>
      <c r="G37" s="70">
        <f t="shared" si="1"/>
        <v>18655.70102</v>
      </c>
      <c r="H37" s="70">
        <f t="shared" si="1"/>
        <v>10347.805</v>
      </c>
      <c r="I37" s="70">
        <f t="shared" si="1"/>
        <v>12275.2293</v>
      </c>
      <c r="J37" s="70">
        <f t="shared" si="1"/>
        <v>12746.888</v>
      </c>
      <c r="K37" s="70">
        <f t="shared" si="1"/>
        <v>11472.896</v>
      </c>
      <c r="L37" s="70">
        <f t="shared" si="1"/>
        <v>7472.588404</v>
      </c>
      <c r="M37" s="70">
        <f t="shared" si="1"/>
        <v>8118.155384</v>
      </c>
    </row>
    <row r="38" ht="15.75" customHeight="1">
      <c r="A38" s="52" t="s">
        <v>52</v>
      </c>
      <c r="B38" s="53" t="s">
        <v>32</v>
      </c>
      <c r="C38" s="77">
        <f t="shared" ref="C38:M38" si="2">C37/C17*100</f>
        <v>46.46870066</v>
      </c>
      <c r="D38" s="78">
        <f t="shared" si="2"/>
        <v>43.46207473</v>
      </c>
      <c r="E38" s="78">
        <f t="shared" si="2"/>
        <v>6.256811093</v>
      </c>
      <c r="F38" s="79">
        <f t="shared" si="2"/>
        <v>4.24264512</v>
      </c>
      <c r="G38" s="80">
        <f t="shared" si="2"/>
        <v>4.545703772</v>
      </c>
      <c r="H38" s="80">
        <f t="shared" si="2"/>
        <v>2.847403223</v>
      </c>
      <c r="I38" s="80">
        <f t="shared" si="2"/>
        <v>3.872922953</v>
      </c>
      <c r="J38" s="80">
        <f t="shared" si="2"/>
        <v>4.503039145</v>
      </c>
      <c r="K38" s="80">
        <f t="shared" si="2"/>
        <v>4.530282844</v>
      </c>
      <c r="L38" s="80">
        <f t="shared" si="2"/>
        <v>3.731609912</v>
      </c>
      <c r="M38" s="80">
        <f t="shared" si="2"/>
        <v>4.491685635</v>
      </c>
    </row>
    <row r="39" ht="15.75" customHeight="1">
      <c r="A39" s="52" t="s">
        <v>44</v>
      </c>
      <c r="B39" s="53" t="s">
        <v>32</v>
      </c>
      <c r="C39" s="86">
        <f t="shared" ref="C39:L39" si="3">C24/ABS(D24)-1</f>
        <v>-25.99941446</v>
      </c>
      <c r="D39" s="102">
        <f t="shared" si="3"/>
        <v>-1.340975642</v>
      </c>
      <c r="E39" s="102">
        <f t="shared" si="3"/>
        <v>-0.1269029634</v>
      </c>
      <c r="F39" s="88">
        <f t="shared" si="3"/>
        <v>0.3545848091</v>
      </c>
      <c r="G39" s="89">
        <f t="shared" si="3"/>
        <v>3.521352313</v>
      </c>
      <c r="H39" s="89">
        <f t="shared" si="3"/>
        <v>-0.7700490998</v>
      </c>
      <c r="I39" s="89">
        <f t="shared" si="3"/>
        <v>0.5566878981</v>
      </c>
      <c r="J39" s="89">
        <f t="shared" si="3"/>
        <v>-0.2408123791</v>
      </c>
      <c r="K39" s="89">
        <f t="shared" si="3"/>
        <v>0.3067682761</v>
      </c>
      <c r="L39" s="89">
        <f t="shared" si="3"/>
        <v>0.4969918838</v>
      </c>
      <c r="M39" s="52"/>
    </row>
    <row r="40" ht="15.75" customHeight="1">
      <c r="A40" s="52" t="s">
        <v>53</v>
      </c>
      <c r="B40" s="53" t="s">
        <v>32</v>
      </c>
      <c r="C40" s="86">
        <f t="shared" ref="C40:L40" si="4">C20/D20-1</f>
        <v>-0.8177411146</v>
      </c>
      <c r="D40" s="102">
        <f t="shared" si="4"/>
        <v>-0.1406189014</v>
      </c>
      <c r="E40" s="102">
        <f t="shared" si="4"/>
        <v>0.07486982653</v>
      </c>
      <c r="F40" s="88">
        <f t="shared" si="4"/>
        <v>0.111544365</v>
      </c>
      <c r="G40" s="89">
        <f t="shared" si="4"/>
        <v>0.1990446921</v>
      </c>
      <c r="H40" s="89">
        <f t="shared" si="4"/>
        <v>0.02520632597</v>
      </c>
      <c r="I40" s="89">
        <f t="shared" si="4"/>
        <v>0.1121812263</v>
      </c>
      <c r="J40" s="89">
        <f t="shared" si="4"/>
        <v>0.07678075856</v>
      </c>
      <c r="K40" s="89">
        <f t="shared" si="4"/>
        <v>0.4752485204</v>
      </c>
      <c r="L40" s="89">
        <f t="shared" si="4"/>
        <v>0.1254625969</v>
      </c>
      <c r="M40" s="52"/>
    </row>
    <row r="41" ht="15.75" customHeight="1">
      <c r="B41" s="104"/>
    </row>
    <row r="42" ht="15.75" customHeight="1">
      <c r="A42" s="105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7"/>
    </row>
    <row r="43" ht="15.75" customHeight="1">
      <c r="A43" s="108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10"/>
    </row>
    <row r="44" ht="15.75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10"/>
    </row>
    <row r="45" ht="15.75" customHeight="1">
      <c r="A45" s="108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10"/>
    </row>
    <row r="46" ht="15.75" customHeight="1">
      <c r="A46" s="108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10"/>
    </row>
    <row r="47" ht="15.75" customHeight="1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2:H2"/>
    <mergeCell ref="A3:A13"/>
    <mergeCell ref="B3:H3"/>
    <mergeCell ref="B4:G4"/>
    <mergeCell ref="B5:G5"/>
    <mergeCell ref="B6:G6"/>
    <mergeCell ref="B7:G7"/>
    <mergeCell ref="B12:G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6.57"/>
    <col customWidth="1" min="3" max="3" width="12.0"/>
    <col customWidth="1" min="4" max="6" width="14.43"/>
  </cols>
  <sheetData>
    <row r="2">
      <c r="B2" s="4" t="s">
        <v>3</v>
      </c>
    </row>
    <row r="3">
      <c r="A3" s="10"/>
      <c r="B3" s="12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4">
        <f>AVERAGE(C27:M27)</f>
        <v>9.586</v>
      </c>
    </row>
    <row r="5">
      <c r="B5" s="9" t="s">
        <v>6</v>
      </c>
      <c r="H5" s="14">
        <f>STDEV(C27:M27)</f>
        <v>1.689268086</v>
      </c>
    </row>
    <row r="6">
      <c r="B6" s="9" t="s">
        <v>7</v>
      </c>
      <c r="H6" s="14">
        <f>(H4-3)/H5</f>
        <v>3.898729902</v>
      </c>
    </row>
    <row r="7">
      <c r="B7" s="9" t="s">
        <v>8</v>
      </c>
      <c r="H7" s="14">
        <f>AVERAGE(D27:I27)</f>
        <v>9.003333333</v>
      </c>
    </row>
    <row r="8">
      <c r="B8" s="9" t="s">
        <v>9</v>
      </c>
      <c r="H8" s="14">
        <f>STDEV(D27:I27)</f>
        <v>1.185523794</v>
      </c>
    </row>
    <row r="9">
      <c r="B9" s="9" t="s">
        <v>10</v>
      </c>
      <c r="H9" s="14">
        <f>(H7-3)/H8</f>
        <v>5.063865747</v>
      </c>
    </row>
    <row r="10">
      <c r="B10" s="9" t="s">
        <v>11</v>
      </c>
      <c r="H10" s="15">
        <f>(C19/L19)^(1/9)-1</f>
        <v>0.07076941124</v>
      </c>
    </row>
    <row r="11">
      <c r="B11" s="9" t="s">
        <v>12</v>
      </c>
      <c r="H11" s="16">
        <v>-21.3</v>
      </c>
    </row>
    <row r="12">
      <c r="B12" s="9" t="s">
        <v>13</v>
      </c>
      <c r="H12" s="17">
        <f>SLOPE(C30:M30,C14:M14)</f>
        <v>0.5548484848</v>
      </c>
    </row>
    <row r="14">
      <c r="A14" s="19" t="s">
        <v>14</v>
      </c>
      <c r="B14" s="19" t="s">
        <v>15</v>
      </c>
      <c r="C14" s="21">
        <v>2025.0</v>
      </c>
      <c r="D14" s="23">
        <v>2024.0</v>
      </c>
      <c r="E14" s="26">
        <v>2023.0</v>
      </c>
      <c r="F14" s="26">
        <v>2022.0</v>
      </c>
      <c r="G14" s="29">
        <v>2021.0</v>
      </c>
      <c r="H14" s="21">
        <v>2020.0</v>
      </c>
      <c r="I14" s="21">
        <v>2019.0</v>
      </c>
      <c r="J14" s="21">
        <v>2018.0</v>
      </c>
      <c r="K14" s="21">
        <v>2017.0</v>
      </c>
      <c r="L14" s="21">
        <v>2016.0</v>
      </c>
      <c r="M14" s="21">
        <v>2015.0</v>
      </c>
      <c r="N14" s="36"/>
    </row>
    <row r="15">
      <c r="A15" s="39" t="s">
        <v>16</v>
      </c>
      <c r="B15" s="43"/>
      <c r="C15" s="43"/>
      <c r="D15" s="47"/>
      <c r="E15" s="49"/>
      <c r="F15" s="49"/>
      <c r="G15" s="51"/>
      <c r="H15" s="43"/>
      <c r="I15" s="43"/>
      <c r="J15" s="43"/>
      <c r="K15" s="43"/>
      <c r="L15" s="43"/>
      <c r="M15" s="43"/>
      <c r="N15" s="56"/>
    </row>
    <row r="16">
      <c r="A16" s="52" t="s">
        <v>17</v>
      </c>
      <c r="B16" s="52" t="s">
        <v>18</v>
      </c>
      <c r="C16" s="52">
        <v>589486.81</v>
      </c>
      <c r="D16" s="60">
        <v>532901.82</v>
      </c>
      <c r="E16" s="63">
        <v>474147.76</v>
      </c>
      <c r="F16" s="63">
        <v>468400.94</v>
      </c>
      <c r="G16" s="66">
        <v>438293.29</v>
      </c>
      <c r="H16" s="52">
        <v>408717.15</v>
      </c>
      <c r="I16" s="52">
        <v>353800.37</v>
      </c>
      <c r="J16" s="52">
        <v>307291.4</v>
      </c>
      <c r="K16" s="52">
        <v>288996.64</v>
      </c>
      <c r="L16" s="52">
        <v>253195.7</v>
      </c>
      <c r="M16" s="65">
        <v>224347.0</v>
      </c>
      <c r="N16" s="65"/>
    </row>
    <row r="17">
      <c r="A17" s="52" t="s">
        <v>19</v>
      </c>
      <c r="B17" s="52" t="s">
        <v>18</v>
      </c>
      <c r="C17" s="52">
        <v>294682.3</v>
      </c>
      <c r="D17" s="60">
        <v>293725.6</v>
      </c>
      <c r="E17" s="63">
        <v>291325.04</v>
      </c>
      <c r="F17" s="63">
        <v>277870.36</v>
      </c>
      <c r="G17" s="66">
        <v>262266.7</v>
      </c>
      <c r="H17" s="52">
        <v>244642.03</v>
      </c>
      <c r="I17" s="52">
        <v>227298.96</v>
      </c>
      <c r="J17" s="52">
        <v>214618.15</v>
      </c>
      <c r="K17" s="52">
        <v>197504.14</v>
      </c>
      <c r="L17" s="52">
        <v>163609.78</v>
      </c>
      <c r="M17" s="65">
        <v>136396.32</v>
      </c>
      <c r="N17" s="65"/>
    </row>
    <row r="18">
      <c r="A18" s="52" t="s">
        <v>20</v>
      </c>
      <c r="B18" s="52" t="s">
        <v>18</v>
      </c>
      <c r="C18" s="52">
        <v>456482.91</v>
      </c>
      <c r="D18" s="60">
        <v>416559.45</v>
      </c>
      <c r="E18" s="63">
        <v>361536.3</v>
      </c>
      <c r="F18" s="63">
        <v>337695.42</v>
      </c>
      <c r="G18" s="66">
        <v>317782.43</v>
      </c>
      <c r="H18" s="52">
        <v>303028.11</v>
      </c>
      <c r="I18" s="52">
        <v>253709.57</v>
      </c>
      <c r="J18" s="52">
        <v>222471.72</v>
      </c>
      <c r="K18" s="52">
        <v>207041.47</v>
      </c>
      <c r="L18" s="52">
        <v>191272.58</v>
      </c>
      <c r="M18" s="65">
        <v>169827.0</v>
      </c>
      <c r="N18" s="65"/>
    </row>
    <row r="19">
      <c r="A19" s="52" t="s">
        <v>22</v>
      </c>
      <c r="B19" s="52" t="s">
        <v>18</v>
      </c>
      <c r="C19" s="52">
        <v>35228.64</v>
      </c>
      <c r="D19" s="60">
        <v>31842.29</v>
      </c>
      <c r="E19" s="63">
        <v>29519.53</v>
      </c>
      <c r="F19" s="63">
        <v>28640.25</v>
      </c>
      <c r="G19" s="66">
        <v>27356.64</v>
      </c>
      <c r="H19" s="52">
        <v>27380.9</v>
      </c>
      <c r="I19" s="52">
        <v>24745.12</v>
      </c>
      <c r="J19" s="52">
        <v>23340.13</v>
      </c>
      <c r="K19" s="52">
        <v>21054.49</v>
      </c>
      <c r="L19" s="52">
        <v>19038.48</v>
      </c>
      <c r="M19" s="65" t="s">
        <v>24</v>
      </c>
      <c r="N19" s="65"/>
    </row>
    <row r="20">
      <c r="A20" s="39" t="s">
        <v>23</v>
      </c>
      <c r="B20" s="43"/>
      <c r="C20" s="43"/>
      <c r="D20" s="47"/>
      <c r="E20" s="49"/>
      <c r="F20" s="49"/>
      <c r="G20" s="51"/>
      <c r="H20" s="43"/>
      <c r="I20" s="43"/>
      <c r="J20" s="43"/>
      <c r="K20" s="43"/>
      <c r="L20" s="43"/>
      <c r="M20" s="43"/>
      <c r="N20" s="56"/>
    </row>
    <row r="21" ht="15.75" customHeight="1">
      <c r="A21" s="52" t="s">
        <v>25</v>
      </c>
      <c r="B21" s="52" t="s">
        <v>18</v>
      </c>
      <c r="C21" s="52">
        <v>-1377.09</v>
      </c>
      <c r="D21" s="60">
        <v>6029.97</v>
      </c>
      <c r="E21" s="63">
        <v>6233.07</v>
      </c>
      <c r="F21" s="63">
        <v>5506.73</v>
      </c>
      <c r="G21" s="66">
        <v>5639.88</v>
      </c>
      <c r="H21" s="52">
        <v>3185.32</v>
      </c>
      <c r="I21" s="52">
        <v>8400.76</v>
      </c>
      <c r="J21" s="52">
        <v>7902.69</v>
      </c>
      <c r="K21" s="52">
        <v>5570.01</v>
      </c>
      <c r="L21" s="52">
        <v>3968.45</v>
      </c>
      <c r="M21" s="65" t="s">
        <v>24</v>
      </c>
      <c r="N21" s="65"/>
    </row>
    <row r="22" ht="15.75" customHeight="1">
      <c r="A22" s="52" t="s">
        <v>26</v>
      </c>
      <c r="B22" s="52" t="s">
        <v>18</v>
      </c>
      <c r="C22" s="52">
        <v>9042.32</v>
      </c>
      <c r="D22" s="60">
        <v>7812.95</v>
      </c>
      <c r="E22" s="63">
        <v>7532.73</v>
      </c>
      <c r="F22" s="63">
        <v>8596.86</v>
      </c>
      <c r="G22" s="66">
        <v>6609.12</v>
      </c>
      <c r="H22" s="52">
        <v>4462.27</v>
      </c>
      <c r="I22" s="52">
        <v>4456.4</v>
      </c>
      <c r="J22" s="52">
        <v>4015.84</v>
      </c>
      <c r="K22" s="52">
        <v>4120.56</v>
      </c>
      <c r="L22" s="52">
        <v>3756.18</v>
      </c>
      <c r="M22" s="65" t="s">
        <v>24</v>
      </c>
      <c r="N22" s="65"/>
    </row>
    <row r="23" ht="15.75" customHeight="1">
      <c r="A23" s="52" t="s">
        <v>27</v>
      </c>
      <c r="B23" s="52" t="s">
        <v>18</v>
      </c>
      <c r="C23" s="52">
        <v>4455.82</v>
      </c>
      <c r="D23" s="60">
        <v>2774.6</v>
      </c>
      <c r="E23" s="63">
        <v>2395.8</v>
      </c>
      <c r="F23" s="63">
        <v>3045.87</v>
      </c>
      <c r="G23" s="66">
        <v>2706.74</v>
      </c>
      <c r="H23" s="52">
        <v>2035.71</v>
      </c>
      <c r="I23" s="52">
        <v>1960.81</v>
      </c>
      <c r="J23" s="52">
        <v>2266.28</v>
      </c>
      <c r="K23" s="52">
        <v>2047.53</v>
      </c>
      <c r="L23" s="52">
        <v>1545.91</v>
      </c>
      <c r="M23" s="65" t="s">
        <v>24</v>
      </c>
      <c r="N23" s="65"/>
    </row>
    <row r="24" ht="15.75" customHeight="1">
      <c r="A24" s="39" t="s">
        <v>28</v>
      </c>
      <c r="B24" s="43"/>
      <c r="C24" s="43"/>
      <c r="D24" s="47"/>
      <c r="E24" s="49"/>
      <c r="F24" s="49"/>
      <c r="G24" s="51"/>
      <c r="H24" s="43"/>
      <c r="I24" s="43"/>
      <c r="J24" s="43"/>
      <c r="K24" s="43"/>
      <c r="L24" s="43"/>
      <c r="M24" s="43"/>
      <c r="N24" s="56"/>
    </row>
    <row r="25" ht="15.75" customHeight="1">
      <c r="A25" s="52" t="s">
        <v>29</v>
      </c>
      <c r="B25" s="52" t="s">
        <v>30</v>
      </c>
      <c r="C25" s="52">
        <v>3.19</v>
      </c>
      <c r="D25" s="60">
        <v>1.88</v>
      </c>
      <c r="E25" s="63">
        <v>1.72</v>
      </c>
      <c r="F25" s="63">
        <v>2.61</v>
      </c>
      <c r="G25" s="66">
        <v>2.32</v>
      </c>
      <c r="H25" s="52">
        <v>1.75</v>
      </c>
      <c r="I25" s="52">
        <v>1.68</v>
      </c>
      <c r="J25" s="52">
        <v>1.94</v>
      </c>
      <c r="K25" s="52">
        <v>1.84</v>
      </c>
      <c r="L25" s="52">
        <v>1.57</v>
      </c>
      <c r="M25" s="80" t="s">
        <v>24</v>
      </c>
      <c r="N25" s="80"/>
    </row>
    <row r="26" ht="15.75" customHeight="1">
      <c r="A26" s="52" t="s">
        <v>31</v>
      </c>
      <c r="B26" s="52" t="s">
        <v>32</v>
      </c>
      <c r="C26" s="52">
        <v>0.79</v>
      </c>
      <c r="D26" s="60">
        <v>0.55</v>
      </c>
      <c r="E26" s="63">
        <v>0.51</v>
      </c>
      <c r="F26" s="63">
        <v>0.67</v>
      </c>
      <c r="G26" s="66">
        <v>0.64</v>
      </c>
      <c r="H26" s="52">
        <v>0.53</v>
      </c>
      <c r="I26" s="52">
        <v>0.59</v>
      </c>
      <c r="J26" s="52">
        <v>0.76</v>
      </c>
      <c r="K26" s="52">
        <v>0.76</v>
      </c>
      <c r="L26" s="52">
        <v>0.65</v>
      </c>
      <c r="M26" s="80" t="s">
        <v>24</v>
      </c>
      <c r="N26" s="80"/>
    </row>
    <row r="27" ht="15.75" customHeight="1">
      <c r="A27" s="52" t="s">
        <v>33</v>
      </c>
      <c r="B27" s="52" t="s">
        <v>32</v>
      </c>
      <c r="C27" s="52">
        <v>13.29</v>
      </c>
      <c r="D27" s="60">
        <v>9.04</v>
      </c>
      <c r="E27" s="63">
        <v>8.24</v>
      </c>
      <c r="F27" s="63">
        <v>10.88</v>
      </c>
      <c r="G27" s="66">
        <v>9.89</v>
      </c>
      <c r="H27" s="52">
        <v>7.81</v>
      </c>
      <c r="I27" s="52">
        <v>8.16</v>
      </c>
      <c r="J27" s="52">
        <v>10.21</v>
      </c>
      <c r="K27" s="52">
        <v>10.21</v>
      </c>
      <c r="L27" s="52">
        <v>8.13</v>
      </c>
      <c r="M27" s="80" t="s">
        <v>24</v>
      </c>
      <c r="N27" s="80"/>
    </row>
    <row r="28" ht="15.75" customHeight="1">
      <c r="A28" s="39" t="s">
        <v>34</v>
      </c>
      <c r="B28" s="43"/>
      <c r="C28" s="43"/>
      <c r="D28" s="47"/>
      <c r="E28" s="49"/>
      <c r="F28" s="49"/>
      <c r="G28" s="51"/>
      <c r="H28" s="43"/>
      <c r="I28" s="43"/>
      <c r="J28" s="43"/>
      <c r="K28" s="43"/>
      <c r="L28" s="43"/>
      <c r="M28" s="43"/>
      <c r="N28" s="56"/>
    </row>
    <row r="29" ht="15.75" customHeight="1">
      <c r="A29" s="52" t="s">
        <v>38</v>
      </c>
      <c r="B29" s="52" t="s">
        <v>32</v>
      </c>
      <c r="C29" s="52">
        <v>55.77</v>
      </c>
      <c r="D29" s="60">
        <v>64.13</v>
      </c>
      <c r="E29" s="63">
        <v>72.48</v>
      </c>
      <c r="F29" s="63">
        <v>68.17</v>
      </c>
      <c r="G29" s="66">
        <v>65.58</v>
      </c>
      <c r="H29" s="52">
        <v>69.42</v>
      </c>
      <c r="I29" s="52">
        <v>76.47</v>
      </c>
      <c r="J29" s="52">
        <v>81.75</v>
      </c>
      <c r="K29" s="52">
        <v>81.88</v>
      </c>
      <c r="L29" s="52">
        <v>76.15</v>
      </c>
      <c r="M29" s="80" t="s">
        <v>24</v>
      </c>
      <c r="N29" s="80"/>
    </row>
    <row r="30" ht="15.75" customHeight="1">
      <c r="A30" s="52" t="s">
        <v>35</v>
      </c>
      <c r="B30" s="52" t="s">
        <v>32</v>
      </c>
      <c r="C30" s="52">
        <v>8.38</v>
      </c>
      <c r="D30" s="60">
        <v>11.4</v>
      </c>
      <c r="E30" s="63">
        <v>6.7</v>
      </c>
      <c r="F30" s="63">
        <v>4.87</v>
      </c>
      <c r="G30" s="66">
        <v>5.14</v>
      </c>
      <c r="H30" s="52">
        <v>3.24</v>
      </c>
      <c r="I30" s="52">
        <v>4.61</v>
      </c>
      <c r="J30" s="52">
        <v>4.1</v>
      </c>
      <c r="K30" s="52">
        <v>4.38</v>
      </c>
      <c r="L30" s="52">
        <v>5.41</v>
      </c>
      <c r="M30" s="80" t="s">
        <v>24</v>
      </c>
      <c r="N30" s="80"/>
    </row>
    <row r="31" ht="15.75" customHeight="1">
      <c r="A31" s="52" t="s">
        <v>37</v>
      </c>
      <c r="B31" s="52" t="s">
        <v>32</v>
      </c>
      <c r="C31" s="52">
        <v>91.05</v>
      </c>
      <c r="D31" s="60">
        <v>67.75</v>
      </c>
      <c r="E31" s="63">
        <v>80.06</v>
      </c>
      <c r="F31" s="63">
        <v>77.79</v>
      </c>
      <c r="G31" s="66">
        <v>54.12</v>
      </c>
      <c r="H31" s="52">
        <v>51.96</v>
      </c>
      <c r="I31" s="52">
        <v>43.93</v>
      </c>
      <c r="J31" s="52">
        <v>44.19</v>
      </c>
      <c r="K31" s="52">
        <v>43.27</v>
      </c>
      <c r="L31" s="52">
        <v>50.8</v>
      </c>
      <c r="M31" s="80" t="s">
        <v>24</v>
      </c>
      <c r="N31" s="80"/>
    </row>
    <row r="32" ht="15.75" customHeight="1">
      <c r="A32" s="39" t="s">
        <v>39</v>
      </c>
      <c r="B32" s="43"/>
      <c r="C32" s="43"/>
      <c r="D32" s="47"/>
      <c r="E32" s="49"/>
      <c r="F32" s="49"/>
      <c r="G32" s="51"/>
      <c r="H32" s="43"/>
      <c r="I32" s="43"/>
      <c r="J32" s="43"/>
      <c r="K32" s="43"/>
      <c r="L32" s="43"/>
      <c r="M32" s="94"/>
      <c r="N32" s="56"/>
    </row>
    <row r="33" ht="15.75" customHeight="1">
      <c r="A33" s="52" t="s">
        <v>45</v>
      </c>
      <c r="B33" s="52" t="s">
        <v>32</v>
      </c>
      <c r="C33" s="52">
        <v>15.13</v>
      </c>
      <c r="D33" s="60">
        <v>15.61</v>
      </c>
      <c r="E33" s="63">
        <v>16.45</v>
      </c>
      <c r="F33" s="63">
        <v>17.7</v>
      </c>
      <c r="G33" s="66">
        <v>15.72</v>
      </c>
      <c r="H33" s="52">
        <v>16.93</v>
      </c>
      <c r="I33" s="52">
        <v>17.93</v>
      </c>
      <c r="J33" s="52">
        <v>15.05</v>
      </c>
      <c r="K33" s="52">
        <v>14.89</v>
      </c>
      <c r="L33" s="52">
        <v>12.42</v>
      </c>
      <c r="M33" s="95" t="s">
        <v>51</v>
      </c>
      <c r="N33" s="80"/>
    </row>
    <row r="34" ht="15.75" customHeight="1">
      <c r="A34" s="52" t="s">
        <v>46</v>
      </c>
      <c r="B34" s="52" t="s">
        <v>32</v>
      </c>
      <c r="C34" s="52">
        <v>35.73</v>
      </c>
      <c r="D34" s="60">
        <v>37.0</v>
      </c>
      <c r="E34" s="63">
        <v>45.02</v>
      </c>
      <c r="F34" s="63">
        <v>47.14</v>
      </c>
      <c r="G34" s="66">
        <v>44.93</v>
      </c>
      <c r="H34" s="52">
        <v>54.42</v>
      </c>
      <c r="I34" s="52">
        <v>42.33</v>
      </c>
      <c r="J34" s="52">
        <v>42.93</v>
      </c>
      <c r="K34" s="52">
        <v>44.12</v>
      </c>
      <c r="L34" s="52">
        <v>44.35</v>
      </c>
      <c r="M34" s="80" t="s">
        <v>24</v>
      </c>
      <c r="N34" s="80"/>
    </row>
    <row r="35" ht="15.75" customHeight="1">
      <c r="A35" s="39" t="s">
        <v>48</v>
      </c>
      <c r="B35" s="43"/>
      <c r="C35" s="43"/>
      <c r="D35" s="47"/>
      <c r="E35" s="49"/>
      <c r="F35" s="49"/>
      <c r="G35" s="51"/>
      <c r="H35" s="43"/>
      <c r="I35" s="43"/>
      <c r="J35" s="43"/>
      <c r="K35" s="43"/>
      <c r="L35" s="43"/>
      <c r="M35" s="43" t="s">
        <v>24</v>
      </c>
      <c r="N35" s="56"/>
    </row>
    <row r="36" ht="15.75" customHeight="1">
      <c r="A36" s="52" t="s">
        <v>50</v>
      </c>
      <c r="B36" s="52" t="s">
        <v>18</v>
      </c>
      <c r="C36" s="52">
        <v>24698.37</v>
      </c>
      <c r="D36" s="60">
        <v>33484.72</v>
      </c>
      <c r="E36" s="63">
        <v>19518.78</v>
      </c>
      <c r="F36" s="63">
        <v>13532.3</v>
      </c>
      <c r="G36" s="66">
        <v>13480.51</v>
      </c>
      <c r="H36" s="52">
        <v>7926.4</v>
      </c>
      <c r="I36" s="52">
        <v>10478.48</v>
      </c>
      <c r="J36" s="52">
        <v>8799.34</v>
      </c>
      <c r="K36" s="52">
        <v>8650.68</v>
      </c>
      <c r="L36" s="52">
        <v>8851.29</v>
      </c>
      <c r="M36" s="70"/>
      <c r="N36" s="70"/>
    </row>
    <row r="37" ht="15.75" customHeight="1">
      <c r="A37" s="52" t="s">
        <v>52</v>
      </c>
      <c r="B37" s="52" t="s">
        <v>32</v>
      </c>
      <c r="C37" s="52">
        <v>4.19</v>
      </c>
      <c r="D37" s="60">
        <v>6.28</v>
      </c>
      <c r="E37" s="63">
        <v>4.12</v>
      </c>
      <c r="F37" s="63">
        <v>2.89</v>
      </c>
      <c r="G37" s="66">
        <v>3.08</v>
      </c>
      <c r="H37" s="52">
        <v>1.94</v>
      </c>
      <c r="I37" s="52">
        <v>2.96</v>
      </c>
      <c r="J37" s="52">
        <v>2.86</v>
      </c>
      <c r="K37" s="52">
        <v>2.99</v>
      </c>
      <c r="L37" s="52">
        <v>3.5</v>
      </c>
      <c r="M37" s="80" t="s">
        <v>24</v>
      </c>
      <c r="N37" s="80"/>
    </row>
    <row r="38" ht="15.75" customHeight="1">
      <c r="A38" s="99" t="s">
        <v>44</v>
      </c>
      <c r="B38" s="52" t="s">
        <v>32</v>
      </c>
      <c r="C38" s="52">
        <v>60.6</v>
      </c>
      <c r="D38" s="60">
        <v>15.81</v>
      </c>
      <c r="E38" s="63">
        <v>-21.34</v>
      </c>
      <c r="F38" s="63">
        <v>12.53</v>
      </c>
      <c r="G38" s="66">
        <v>32.96</v>
      </c>
      <c r="H38" s="52">
        <v>3.82</v>
      </c>
      <c r="I38" s="52">
        <v>-13.48</v>
      </c>
      <c r="J38" s="52">
        <v>10.68</v>
      </c>
      <c r="K38" s="52">
        <v>32.44</v>
      </c>
      <c r="L38" s="52" t="s">
        <v>24</v>
      </c>
      <c r="M38" s="52" t="s">
        <v>24</v>
      </c>
      <c r="N38" s="52"/>
    </row>
    <row r="39" ht="15.75" customHeight="1">
      <c r="A39" s="52" t="s">
        <v>53</v>
      </c>
      <c r="B39" s="52" t="s">
        <v>32</v>
      </c>
      <c r="C39" s="52">
        <v>10.63</v>
      </c>
      <c r="D39" s="60">
        <v>7.87</v>
      </c>
      <c r="E39" s="63">
        <v>3.07</v>
      </c>
      <c r="F39" s="63">
        <v>4.69</v>
      </c>
      <c r="G39" s="66">
        <v>-0.09</v>
      </c>
      <c r="H39" s="52">
        <v>10.65</v>
      </c>
      <c r="I39" s="52">
        <v>6.02</v>
      </c>
      <c r="J39" s="52">
        <v>10.86</v>
      </c>
      <c r="K39" s="52">
        <v>10.59</v>
      </c>
      <c r="L39" s="52" t="s">
        <v>24</v>
      </c>
      <c r="M39" s="52" t="s">
        <v>24</v>
      </c>
      <c r="N39" s="52"/>
    </row>
    <row r="40" ht="15.75" customHeight="1"/>
    <row r="41" ht="15.75" customHeight="1"/>
    <row r="42" ht="15.75" customHeight="1"/>
    <row r="43" ht="15.75" customHeight="1"/>
    <row r="44" ht="15.75" customHeight="1">
      <c r="D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B56" s="101"/>
      <c r="C56" s="101"/>
      <c r="D56" s="101"/>
      <c r="E56" s="101"/>
      <c r="F56" s="101"/>
      <c r="G56" s="101"/>
      <c r="H56" s="101"/>
      <c r="I56" s="101"/>
      <c r="J56" s="101"/>
      <c r="K56" s="101"/>
    </row>
    <row r="57" ht="15.75" customHeight="1">
      <c r="B57" s="101"/>
      <c r="C57" s="101"/>
      <c r="D57" s="101"/>
      <c r="E57" s="101"/>
      <c r="F57" s="101"/>
      <c r="G57" s="101"/>
      <c r="H57" s="101"/>
      <c r="I57" s="101"/>
      <c r="J57" s="101"/>
      <c r="K57" s="101"/>
    </row>
    <row r="58" ht="15.75" customHeight="1"/>
    <row r="59" ht="15.75" customHeight="1">
      <c r="B59" s="101"/>
      <c r="C59" s="101"/>
      <c r="D59" s="101"/>
      <c r="E59" s="101"/>
      <c r="F59" s="101"/>
      <c r="G59" s="101"/>
      <c r="H59" s="101"/>
      <c r="I59" s="101"/>
      <c r="J59" s="101"/>
      <c r="K59" s="101"/>
    </row>
    <row r="60" ht="15.75" customHeight="1">
      <c r="B60" s="101"/>
      <c r="C60" s="101"/>
      <c r="D60" s="101"/>
      <c r="E60" s="101"/>
      <c r="F60" s="101"/>
      <c r="G60" s="101"/>
      <c r="H60" s="101"/>
      <c r="I60" s="101"/>
      <c r="J60" s="101"/>
      <c r="K60" s="101"/>
    </row>
    <row r="61" ht="15.75" customHeight="1">
      <c r="B61" s="101"/>
      <c r="C61" s="101"/>
      <c r="D61" s="101"/>
      <c r="E61" s="101"/>
      <c r="F61" s="101"/>
      <c r="G61" s="101"/>
      <c r="H61" s="101"/>
      <c r="I61" s="101"/>
      <c r="J61" s="101"/>
      <c r="K61" s="101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B67" s="101"/>
      <c r="C67" s="101"/>
      <c r="D67" s="101"/>
      <c r="E67" s="101"/>
      <c r="F67" s="101"/>
      <c r="G67" s="101"/>
      <c r="H67" s="101"/>
      <c r="I67" s="101"/>
      <c r="J67" s="101"/>
      <c r="K67" s="101"/>
    </row>
    <row r="68" ht="15.75" customHeight="1">
      <c r="B68" s="101"/>
      <c r="C68" s="101"/>
      <c r="D68" s="101"/>
      <c r="E68" s="101"/>
      <c r="F68" s="101"/>
      <c r="G68" s="101"/>
      <c r="H68" s="101"/>
      <c r="I68" s="101"/>
      <c r="J68" s="101"/>
    </row>
    <row r="69" ht="15.75" customHeight="1">
      <c r="B69" s="101"/>
      <c r="C69" s="101"/>
      <c r="D69" s="101"/>
      <c r="E69" s="101"/>
      <c r="F69" s="101"/>
      <c r="G69" s="101"/>
      <c r="H69" s="101"/>
      <c r="I69" s="101"/>
      <c r="J69" s="10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G8"/>
    <mergeCell ref="B9:G9"/>
    <mergeCell ref="B10:G10"/>
    <mergeCell ref="B11:G11"/>
    <mergeCell ref="B12:G12"/>
    <mergeCell ref="D44:J44"/>
    <mergeCell ref="B2:F2"/>
    <mergeCell ref="A3:A11"/>
    <mergeCell ref="B3:H3"/>
    <mergeCell ref="B4:G4"/>
    <mergeCell ref="B5:G5"/>
    <mergeCell ref="B6:G6"/>
    <mergeCell ref="B7:G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6" width="14.43"/>
  </cols>
  <sheetData>
    <row r="3">
      <c r="B3" s="4" t="s">
        <v>2</v>
      </c>
    </row>
    <row r="4">
      <c r="A4" s="11"/>
      <c r="B4" s="13" t="s">
        <v>4</v>
      </c>
      <c r="C4" s="7"/>
      <c r="D4" s="7"/>
      <c r="E4" s="7"/>
      <c r="F4" s="7"/>
      <c r="G4" s="7"/>
      <c r="H4" s="8"/>
    </row>
    <row r="5">
      <c r="B5" s="9" t="s">
        <v>5</v>
      </c>
      <c r="H5" s="14">
        <f>AVERAGE(C28:M28)</f>
        <v>15.6</v>
      </c>
    </row>
    <row r="6">
      <c r="B6" s="9" t="s">
        <v>6</v>
      </c>
      <c r="H6" s="14">
        <f>STDEV(C28:M28)</f>
        <v>4.493410731</v>
      </c>
    </row>
    <row r="7">
      <c r="B7" s="9" t="s">
        <v>7</v>
      </c>
      <c r="H7" s="14">
        <f>(H5-3)/H6</f>
        <v>2.804106002</v>
      </c>
    </row>
    <row r="8">
      <c r="B8" s="9" t="s">
        <v>8</v>
      </c>
      <c r="H8" s="14">
        <f>AVERAGE(D28:I28)</f>
        <v>12.785</v>
      </c>
    </row>
    <row r="9">
      <c r="B9" s="9" t="s">
        <v>9</v>
      </c>
      <c r="H9" s="14">
        <f>STDEV(D28:I28)</f>
        <v>2.972525862</v>
      </c>
    </row>
    <row r="10">
      <c r="B10" s="9" t="s">
        <v>10</v>
      </c>
      <c r="H10" s="14">
        <f>(H8-3)/H9</f>
        <v>3.291813244</v>
      </c>
    </row>
    <row r="11">
      <c r="B11" s="9" t="s">
        <v>11</v>
      </c>
      <c r="H11" s="15">
        <f>(C20/M20)^(1/10)-1</f>
        <v>0.1814625632</v>
      </c>
    </row>
    <row r="12">
      <c r="B12" s="9" t="s">
        <v>12</v>
      </c>
      <c r="H12" s="16">
        <v>-19.6</v>
      </c>
    </row>
    <row r="13">
      <c r="B13" s="9" t="s">
        <v>13</v>
      </c>
      <c r="H13" s="17">
        <f>SLOPE(C31:M31,C15:M15)</f>
        <v>-0.1915454545</v>
      </c>
    </row>
    <row r="14">
      <c r="A14" s="3"/>
    </row>
    <row r="15">
      <c r="A15" s="25" t="s">
        <v>14</v>
      </c>
      <c r="B15" s="25" t="s">
        <v>15</v>
      </c>
      <c r="C15" s="25">
        <v>2025.0</v>
      </c>
      <c r="D15" s="30">
        <v>2024.0</v>
      </c>
      <c r="E15" s="32">
        <v>2023.0</v>
      </c>
      <c r="F15" s="32">
        <v>2022.0</v>
      </c>
      <c r="G15" s="34">
        <v>2021.0</v>
      </c>
      <c r="H15" s="37">
        <v>2020.0</v>
      </c>
      <c r="I15" s="37">
        <v>2019.0</v>
      </c>
      <c r="J15" s="37">
        <v>2018.0</v>
      </c>
      <c r="K15" s="37">
        <v>2017.0</v>
      </c>
      <c r="L15" s="37">
        <v>2016.0</v>
      </c>
      <c r="M15" s="37">
        <v>2015.0</v>
      </c>
    </row>
    <row r="16">
      <c r="A16" s="39" t="s">
        <v>16</v>
      </c>
      <c r="B16" s="43"/>
      <c r="C16" s="43"/>
      <c r="D16" s="47"/>
      <c r="E16" s="49"/>
      <c r="F16" s="49"/>
      <c r="G16" s="51"/>
      <c r="H16" s="43"/>
      <c r="I16" s="43"/>
      <c r="J16" s="43"/>
      <c r="K16" s="43"/>
      <c r="L16" s="43"/>
      <c r="M16" s="43"/>
    </row>
    <row r="17">
      <c r="A17" s="52" t="s">
        <v>17</v>
      </c>
      <c r="B17" s="52" t="s">
        <v>18</v>
      </c>
      <c r="C17" s="52">
        <v>1179672.0</v>
      </c>
      <c r="D17" s="60">
        <v>930133.0</v>
      </c>
      <c r="E17" s="63">
        <v>726723.0</v>
      </c>
      <c r="F17" s="63">
        <v>563271.0</v>
      </c>
      <c r="G17" s="66">
        <v>449084.0</v>
      </c>
      <c r="H17" s="52">
        <v>397502.0</v>
      </c>
      <c r="I17" s="52">
        <v>369404.0</v>
      </c>
      <c r="J17" s="52">
        <v>315417.0</v>
      </c>
      <c r="K17" s="52">
        <v>279187.0</v>
      </c>
      <c r="L17" s="52">
        <v>248605.0</v>
      </c>
      <c r="M17" s="52">
        <v>224493.0</v>
      </c>
    </row>
    <row r="18">
      <c r="A18" s="52" t="s">
        <v>19</v>
      </c>
      <c r="B18" s="52" t="s">
        <v>18</v>
      </c>
      <c r="C18" s="52">
        <v>730659.0</v>
      </c>
      <c r="D18" s="60">
        <v>623372.0</v>
      </c>
      <c r="E18" s="63">
        <v>519452.0</v>
      </c>
      <c r="F18" s="63">
        <v>410676.0</v>
      </c>
      <c r="G18" s="66">
        <v>321212.0</v>
      </c>
      <c r="H18" s="52">
        <v>273063.0</v>
      </c>
      <c r="I18" s="52">
        <v>264091.0</v>
      </c>
      <c r="J18" s="52">
        <v>238008.0</v>
      </c>
      <c r="K18" s="52">
        <v>202559.0</v>
      </c>
      <c r="L18" s="52">
        <v>173612.0</v>
      </c>
      <c r="M18" s="52">
        <v>147434.0</v>
      </c>
    </row>
    <row r="19">
      <c r="A19" s="52" t="s">
        <v>20</v>
      </c>
      <c r="B19" s="52" t="s">
        <v>18</v>
      </c>
      <c r="C19" s="52">
        <v>889517.0</v>
      </c>
      <c r="D19" s="60">
        <v>689433.0</v>
      </c>
      <c r="E19" s="63">
        <v>513909.0</v>
      </c>
      <c r="F19" s="63">
        <v>384467.0</v>
      </c>
      <c r="G19" s="66">
        <v>314591.0</v>
      </c>
      <c r="H19" s="52">
        <v>289054.0</v>
      </c>
      <c r="I19" s="52">
        <v>268309.0</v>
      </c>
      <c r="J19" s="52">
        <v>233509.0</v>
      </c>
      <c r="K19" s="52">
        <v>196224.0</v>
      </c>
      <c r="L19" s="52">
        <v>168860.0</v>
      </c>
      <c r="M19" s="52">
        <v>143321.0</v>
      </c>
    </row>
    <row r="20">
      <c r="A20" s="52" t="s">
        <v>22</v>
      </c>
      <c r="B20" s="52" t="s">
        <v>18</v>
      </c>
      <c r="C20" s="52">
        <v>99702.0</v>
      </c>
      <c r="D20" s="60">
        <v>75797.0</v>
      </c>
      <c r="E20" s="63">
        <v>63782.0</v>
      </c>
      <c r="F20" s="63">
        <v>58418.0</v>
      </c>
      <c r="G20" s="66">
        <v>54419.0</v>
      </c>
      <c r="H20" s="52">
        <v>46955.0</v>
      </c>
      <c r="I20" s="52">
        <v>38919.0</v>
      </c>
      <c r="J20" s="52">
        <v>31638.0</v>
      </c>
      <c r="K20" s="52">
        <v>25991.0</v>
      </c>
      <c r="L20" s="52">
        <v>21441.0</v>
      </c>
      <c r="M20" s="52">
        <v>18815.0</v>
      </c>
    </row>
    <row r="21" ht="15.75" customHeight="1">
      <c r="A21" s="39" t="s">
        <v>23</v>
      </c>
      <c r="B21" s="43"/>
      <c r="C21" s="43"/>
      <c r="D21" s="47"/>
      <c r="E21" s="49"/>
      <c r="F21" s="49"/>
      <c r="G21" s="51"/>
      <c r="H21" s="43"/>
      <c r="I21" s="43"/>
      <c r="J21" s="43"/>
      <c r="K21" s="43"/>
      <c r="L21" s="43"/>
      <c r="M21" s="43"/>
    </row>
    <row r="22" ht="15.75" customHeight="1">
      <c r="A22" s="52" t="s">
        <v>25</v>
      </c>
      <c r="B22" s="52" t="s">
        <v>18</v>
      </c>
      <c r="C22" s="52">
        <v>11778.0</v>
      </c>
      <c r="D22" s="60">
        <v>13461.0</v>
      </c>
      <c r="E22" s="63">
        <v>17719.0</v>
      </c>
      <c r="F22" s="63">
        <v>15235.0</v>
      </c>
      <c r="G22" s="66">
        <v>13997.0</v>
      </c>
      <c r="H22" s="52">
        <v>11380.0</v>
      </c>
      <c r="I22" s="52">
        <v>15038.0</v>
      </c>
      <c r="J22" s="52">
        <v>13538.0</v>
      </c>
      <c r="K22" s="52">
        <v>12147.0</v>
      </c>
      <c r="L22" s="52">
        <v>10806.0</v>
      </c>
      <c r="M22" s="52">
        <v>8716.0</v>
      </c>
    </row>
    <row r="23" ht="15.75" customHeight="1">
      <c r="A23" s="52" t="s">
        <v>26</v>
      </c>
      <c r="B23" s="52" t="s">
        <v>18</v>
      </c>
      <c r="C23" s="52">
        <v>8233.0</v>
      </c>
      <c r="D23" s="60">
        <v>9524.0</v>
      </c>
      <c r="E23" s="63">
        <v>6317.0</v>
      </c>
      <c r="F23" s="63">
        <v>6152.0</v>
      </c>
      <c r="G23" s="66">
        <v>3586.0</v>
      </c>
      <c r="H23" s="52">
        <v>2672.0</v>
      </c>
      <c r="I23" s="52">
        <v>3279.0</v>
      </c>
      <c r="J23" s="52">
        <v>2666.0</v>
      </c>
      <c r="K23" s="52">
        <v>2981.0</v>
      </c>
      <c r="L23" s="52">
        <v>2661.0</v>
      </c>
      <c r="M23" s="52">
        <v>3960.0</v>
      </c>
    </row>
    <row r="24" ht="15.75" customHeight="1">
      <c r="A24" s="52" t="s">
        <v>27</v>
      </c>
      <c r="B24" s="52" t="s">
        <v>18</v>
      </c>
      <c r="C24" s="52">
        <v>15809.0</v>
      </c>
      <c r="D24" s="60">
        <v>12136.0</v>
      </c>
      <c r="E24" s="63">
        <v>7304.0</v>
      </c>
      <c r="F24" s="63">
        <v>5763.0</v>
      </c>
      <c r="G24" s="66">
        <v>5547.0</v>
      </c>
      <c r="H24" s="52">
        <v>4541.0</v>
      </c>
      <c r="I24" s="52">
        <v>5646.0</v>
      </c>
      <c r="J24" s="52">
        <v>5547.0</v>
      </c>
      <c r="K24" s="52">
        <v>5250.0</v>
      </c>
      <c r="L24" s="52">
        <v>4460.0</v>
      </c>
      <c r="M24" s="52">
        <v>2435.0</v>
      </c>
    </row>
    <row r="25" ht="15.75" customHeight="1">
      <c r="A25" s="39" t="s">
        <v>28</v>
      </c>
      <c r="B25" s="43"/>
      <c r="C25" s="43"/>
      <c r="D25" s="47"/>
      <c r="E25" s="49"/>
      <c r="F25" s="49"/>
      <c r="G25" s="51"/>
      <c r="H25" s="43"/>
      <c r="I25" s="43"/>
      <c r="J25" s="43"/>
      <c r="K25" s="43"/>
      <c r="L25" s="43"/>
      <c r="M25" s="43"/>
    </row>
    <row r="26" ht="15.75" customHeight="1">
      <c r="A26" s="52" t="s">
        <v>29</v>
      </c>
      <c r="B26" s="52" t="s">
        <v>30</v>
      </c>
      <c r="C26" s="52">
        <v>7.94</v>
      </c>
      <c r="D26" s="60">
        <v>6.1</v>
      </c>
      <c r="E26" s="63">
        <v>4.13</v>
      </c>
      <c r="F26" s="63">
        <v>3.58</v>
      </c>
      <c r="G26" s="66">
        <v>3.71</v>
      </c>
      <c r="H26" s="52">
        <v>3.42</v>
      </c>
      <c r="I26" s="52">
        <v>4.26</v>
      </c>
      <c r="J26" s="52">
        <v>4.5</v>
      </c>
      <c r="K26" s="52">
        <v>4.91</v>
      </c>
      <c r="L26" s="52">
        <v>5.23</v>
      </c>
      <c r="M26" s="52">
        <v>3.43</v>
      </c>
    </row>
    <row r="27" ht="15.75" customHeight="1">
      <c r="A27" s="52" t="s">
        <v>31</v>
      </c>
      <c r="B27" s="52" t="s">
        <v>32</v>
      </c>
      <c r="C27" s="52">
        <v>1.5</v>
      </c>
      <c r="D27" s="60">
        <v>1.46</v>
      </c>
      <c r="E27" s="63">
        <v>1.13</v>
      </c>
      <c r="F27" s="63">
        <v>1.14</v>
      </c>
      <c r="G27" s="66">
        <v>1.31</v>
      </c>
      <c r="H27" s="52">
        <v>1.18</v>
      </c>
      <c r="I27" s="52">
        <v>1.64</v>
      </c>
      <c r="J27" s="52">
        <v>1.87</v>
      </c>
      <c r="K27" s="52">
        <v>2.02</v>
      </c>
      <c r="L27" s="52">
        <v>1.89</v>
      </c>
      <c r="M27" s="52">
        <v>1.13</v>
      </c>
    </row>
    <row r="28" ht="15.75" customHeight="1">
      <c r="A28" s="52" t="s">
        <v>33</v>
      </c>
      <c r="B28" s="52" t="s">
        <v>32</v>
      </c>
      <c r="C28" s="52">
        <v>18.02</v>
      </c>
      <c r="D28" s="60">
        <v>17.36</v>
      </c>
      <c r="E28" s="63">
        <v>11.95</v>
      </c>
      <c r="F28" s="63">
        <v>10.22</v>
      </c>
      <c r="G28" s="66">
        <v>11.0</v>
      </c>
      <c r="H28" s="52">
        <v>10.58</v>
      </c>
      <c r="I28" s="52">
        <v>15.6</v>
      </c>
      <c r="J28" s="52">
        <v>19.25</v>
      </c>
      <c r="K28" s="52">
        <v>22.14</v>
      </c>
      <c r="L28" s="52">
        <v>22.16</v>
      </c>
      <c r="M28" s="52">
        <v>13.32</v>
      </c>
    </row>
    <row r="29" ht="15.75" customHeight="1">
      <c r="A29" s="39" t="s">
        <v>34</v>
      </c>
      <c r="B29" s="43"/>
      <c r="C29" s="43"/>
      <c r="D29" s="47"/>
      <c r="E29" s="49"/>
      <c r="F29" s="49"/>
      <c r="G29" s="51"/>
      <c r="H29" s="43"/>
      <c r="I29" s="43"/>
      <c r="J29" s="43"/>
      <c r="K29" s="43"/>
      <c r="L29" s="43"/>
      <c r="M29" s="43"/>
    </row>
    <row r="30" ht="15.75" customHeight="1">
      <c r="A30" s="52" t="s">
        <v>38</v>
      </c>
      <c r="B30" s="52" t="s">
        <v>32</v>
      </c>
      <c r="C30" s="52">
        <v>63.48</v>
      </c>
      <c r="D30" s="60">
        <v>70.75</v>
      </c>
      <c r="E30" s="63">
        <v>74.29</v>
      </c>
      <c r="F30" s="63">
        <v>79.94</v>
      </c>
      <c r="G30" s="66">
        <v>81.86</v>
      </c>
      <c r="H30" s="52">
        <v>76.69</v>
      </c>
      <c r="I30" s="52">
        <v>82.1</v>
      </c>
      <c r="J30" s="52">
        <v>82.78</v>
      </c>
      <c r="K30" s="52">
        <v>83.39</v>
      </c>
      <c r="L30" s="52">
        <v>83.47</v>
      </c>
      <c r="M30" s="52">
        <v>82.24</v>
      </c>
    </row>
    <row r="31" ht="15.75" customHeight="1">
      <c r="A31" s="52" t="s">
        <v>35</v>
      </c>
      <c r="B31" s="52" t="s">
        <v>32</v>
      </c>
      <c r="C31" s="52">
        <v>2.27</v>
      </c>
      <c r="D31" s="60">
        <v>2.63</v>
      </c>
      <c r="E31" s="63">
        <v>3.38</v>
      </c>
      <c r="F31" s="63">
        <v>3.72</v>
      </c>
      <c r="G31" s="66">
        <v>3.9</v>
      </c>
      <c r="H31" s="52">
        <v>2.93</v>
      </c>
      <c r="I31" s="52">
        <v>3.99</v>
      </c>
      <c r="J31" s="52">
        <v>3.1</v>
      </c>
      <c r="K31" s="52">
        <v>3.56</v>
      </c>
      <c r="L31" s="52">
        <v>3.4</v>
      </c>
      <c r="M31" s="52">
        <v>5.99</v>
      </c>
    </row>
    <row r="32" ht="15.75" customHeight="1">
      <c r="A32" s="52" t="s">
        <v>37</v>
      </c>
      <c r="B32" s="52" t="s">
        <v>32</v>
      </c>
      <c r="C32" s="52">
        <v>120.0</v>
      </c>
      <c r="D32" s="60">
        <v>120.0</v>
      </c>
      <c r="E32" s="63">
        <v>102.0</v>
      </c>
      <c r="F32" s="63">
        <v>99.0</v>
      </c>
      <c r="G32" s="66">
        <v>108.0</v>
      </c>
      <c r="H32" s="52">
        <v>114.0</v>
      </c>
      <c r="I32" s="52">
        <v>65.0</v>
      </c>
      <c r="J32" s="52">
        <v>76.0</v>
      </c>
      <c r="K32" s="52">
        <v>86.0</v>
      </c>
      <c r="L32" s="52">
        <v>94.0</v>
      </c>
      <c r="M32" s="52">
        <v>77.94</v>
      </c>
    </row>
    <row r="33" ht="15.75" customHeight="1">
      <c r="A33" s="39" t="s">
        <v>39</v>
      </c>
      <c r="B33" s="43"/>
      <c r="C33" s="82"/>
      <c r="D33" s="83"/>
      <c r="E33" s="84"/>
      <c r="F33" s="84"/>
      <c r="G33" s="85"/>
      <c r="H33" s="82"/>
      <c r="I33" s="82"/>
      <c r="J33" s="82"/>
      <c r="K33" s="82"/>
      <c r="L33" s="82"/>
      <c r="M33" s="43"/>
    </row>
    <row r="34" ht="15.75" customHeight="1">
      <c r="A34" s="52" t="s">
        <v>45</v>
      </c>
      <c r="B34" s="52" t="s">
        <v>32</v>
      </c>
      <c r="C34" s="52">
        <v>19.64</v>
      </c>
      <c r="D34" s="60">
        <v>19.05</v>
      </c>
      <c r="E34" s="63">
        <v>18.6</v>
      </c>
      <c r="F34" s="63">
        <v>19.38</v>
      </c>
      <c r="G34" s="66">
        <v>20.42</v>
      </c>
      <c r="H34" s="52">
        <v>15.13</v>
      </c>
      <c r="I34" s="52">
        <v>16.16</v>
      </c>
      <c r="J34" s="52">
        <v>15.7</v>
      </c>
      <c r="K34" s="52">
        <v>11.97</v>
      </c>
      <c r="L34" s="52">
        <v>12.06</v>
      </c>
      <c r="M34" s="52">
        <v>12.29</v>
      </c>
    </row>
    <row r="35" ht="15.75" customHeight="1">
      <c r="A35" s="52" t="s">
        <v>46</v>
      </c>
      <c r="B35" s="52" t="s">
        <v>32</v>
      </c>
      <c r="C35" s="52">
        <v>52.0</v>
      </c>
      <c r="D35" s="60">
        <v>57.0</v>
      </c>
      <c r="E35" s="63">
        <v>66.0</v>
      </c>
      <c r="F35" s="63">
        <v>70.0</v>
      </c>
      <c r="G35" s="66">
        <v>68.0</v>
      </c>
      <c r="H35" s="52">
        <v>71.0</v>
      </c>
      <c r="I35" s="52">
        <v>68.0</v>
      </c>
      <c r="J35" s="52">
        <v>64.0</v>
      </c>
      <c r="K35" s="52">
        <v>60.0</v>
      </c>
      <c r="L35" s="52">
        <v>57.0</v>
      </c>
      <c r="M35" s="52">
        <v>56.29</v>
      </c>
    </row>
    <row r="36" ht="15.75" customHeight="1">
      <c r="A36" s="39" t="s">
        <v>48</v>
      </c>
      <c r="B36" s="43"/>
      <c r="C36" s="90"/>
      <c r="D36" s="91"/>
      <c r="E36" s="92"/>
      <c r="F36" s="92"/>
      <c r="G36" s="93"/>
      <c r="H36" s="90"/>
      <c r="I36" s="90"/>
      <c r="J36" s="90"/>
      <c r="K36" s="90"/>
      <c r="L36" s="90"/>
      <c r="M36" s="43"/>
    </row>
    <row r="37" ht="15.75" customHeight="1">
      <c r="A37" s="52" t="s">
        <v>50</v>
      </c>
      <c r="B37" s="52" t="s">
        <v>18</v>
      </c>
      <c r="C37" s="52">
        <v>16587.0</v>
      </c>
      <c r="D37" s="60">
        <v>16394.7</v>
      </c>
      <c r="E37" s="63">
        <v>17557.5</v>
      </c>
      <c r="F37" s="63">
        <v>15277.2</v>
      </c>
      <c r="G37" s="66">
        <v>12527.3</v>
      </c>
      <c r="H37" s="52">
        <v>8000.8</v>
      </c>
      <c r="I37" s="52">
        <v>10537.2</v>
      </c>
      <c r="J37" s="52">
        <v>7378.3</v>
      </c>
      <c r="K37" s="52">
        <v>7211.1</v>
      </c>
      <c r="L37" s="52">
        <v>5902.8</v>
      </c>
      <c r="M37" s="52">
        <v>8831.3</v>
      </c>
    </row>
    <row r="38" ht="15.75" customHeight="1">
      <c r="A38" s="52" t="s">
        <v>52</v>
      </c>
      <c r="B38" s="52" t="s">
        <v>32</v>
      </c>
      <c r="C38" s="52">
        <v>1.41</v>
      </c>
      <c r="D38" s="60">
        <v>1.76</v>
      </c>
      <c r="E38" s="63">
        <v>2.42</v>
      </c>
      <c r="F38" s="63">
        <v>2.71</v>
      </c>
      <c r="G38" s="66">
        <v>2.79</v>
      </c>
      <c r="H38" s="52">
        <v>2.01</v>
      </c>
      <c r="I38" s="52">
        <v>2.85</v>
      </c>
      <c r="J38" s="52">
        <v>2.34</v>
      </c>
      <c r="K38" s="52">
        <v>2.58</v>
      </c>
      <c r="L38" s="52">
        <v>2.37</v>
      </c>
      <c r="M38" s="52">
        <v>3.93</v>
      </c>
    </row>
    <row r="39" ht="15.75" customHeight="1">
      <c r="A39" s="99" t="s">
        <v>44</v>
      </c>
      <c r="B39" s="52" t="s">
        <v>32</v>
      </c>
      <c r="C39" s="52">
        <v>30.26</v>
      </c>
      <c r="D39" s="60">
        <v>66.16</v>
      </c>
      <c r="E39" s="63">
        <v>26.75</v>
      </c>
      <c r="F39" s="63">
        <v>3.89</v>
      </c>
      <c r="G39" s="66">
        <v>22.16</v>
      </c>
      <c r="H39" s="52">
        <v>-19.57</v>
      </c>
      <c r="I39" s="52">
        <v>1.78</v>
      </c>
      <c r="J39" s="52">
        <v>5.66</v>
      </c>
      <c r="K39" s="52">
        <v>17.71</v>
      </c>
      <c r="L39" s="52">
        <v>83.16</v>
      </c>
      <c r="M39" s="52" t="s">
        <v>24</v>
      </c>
    </row>
    <row r="40" ht="15.75" customHeight="1">
      <c r="A40" s="52" t="s">
        <v>53</v>
      </c>
      <c r="B40" s="52" t="s">
        <v>32</v>
      </c>
      <c r="C40" s="52">
        <v>31.54</v>
      </c>
      <c r="D40" s="60">
        <v>18.84</v>
      </c>
      <c r="E40" s="63">
        <v>9.18</v>
      </c>
      <c r="F40" s="63">
        <v>7.35</v>
      </c>
      <c r="G40" s="66">
        <v>15.89</v>
      </c>
      <c r="H40" s="52">
        <v>20.65</v>
      </c>
      <c r="I40" s="52">
        <v>23.02</v>
      </c>
      <c r="J40" s="52">
        <v>21.73</v>
      </c>
      <c r="K40" s="52">
        <v>21.22</v>
      </c>
      <c r="L40" s="52">
        <v>13.96</v>
      </c>
      <c r="M40" s="52" t="s">
        <v>24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</row>
    <row r="60" ht="15.75" customHeight="1"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</row>
    <row r="61" ht="15.75" customHeight="1"/>
    <row r="62" ht="15.75" customHeight="1"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</row>
    <row r="63" ht="15.75" customHeight="1"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</row>
    <row r="64" ht="15.75" customHeight="1"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1"/>
    </row>
    <row r="65" ht="15.75" customHeight="1">
      <c r="B65" s="101"/>
      <c r="C65" s="101"/>
      <c r="D65" s="101"/>
      <c r="E65" s="101"/>
      <c r="F65" s="101"/>
      <c r="G65" s="101"/>
      <c r="H65" s="101"/>
      <c r="I65" s="101"/>
      <c r="J65" s="101"/>
      <c r="K65" s="101"/>
    </row>
    <row r="66" ht="15.75" customHeight="1"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</row>
    <row r="67" ht="15.75" customHeight="1"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</row>
    <row r="68" ht="15.75" customHeight="1">
      <c r="B68" s="103"/>
      <c r="C68" s="103"/>
      <c r="D68" s="103"/>
      <c r="E68" s="103"/>
      <c r="F68" s="103"/>
      <c r="G68" s="103"/>
      <c r="H68" s="103"/>
      <c r="I68" s="103"/>
      <c r="J68" s="103"/>
      <c r="K68" s="103"/>
    </row>
    <row r="69" ht="15.75" customHeight="1"/>
    <row r="70" ht="15.75" customHeight="1"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</row>
    <row r="71" ht="15.75" customHeight="1">
      <c r="B71" s="101"/>
      <c r="C71" s="101"/>
      <c r="D71" s="101"/>
      <c r="E71" s="101"/>
      <c r="F71" s="101"/>
      <c r="G71" s="101"/>
      <c r="H71" s="101"/>
      <c r="I71" s="101"/>
      <c r="J71" s="101"/>
      <c r="K71" s="101"/>
    </row>
    <row r="72" ht="15.75" customHeight="1">
      <c r="B72" s="101"/>
      <c r="C72" s="101"/>
      <c r="D72" s="101"/>
      <c r="E72" s="101"/>
      <c r="F72" s="101"/>
      <c r="G72" s="101"/>
      <c r="H72" s="101"/>
      <c r="I72" s="101"/>
      <c r="J72" s="101"/>
      <c r="K72" s="10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G9"/>
    <mergeCell ref="B10:G10"/>
    <mergeCell ref="B11:G11"/>
    <mergeCell ref="B12:G12"/>
    <mergeCell ref="B3:F3"/>
    <mergeCell ref="A4:A13"/>
    <mergeCell ref="B4:H4"/>
    <mergeCell ref="B5:G5"/>
    <mergeCell ref="B6:G6"/>
    <mergeCell ref="B7:G7"/>
    <mergeCell ref="B8:G8"/>
    <mergeCell ref="B13:G1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6" width="14.43"/>
  </cols>
  <sheetData>
    <row r="2">
      <c r="B2" s="4" t="s">
        <v>54</v>
      </c>
    </row>
    <row r="3">
      <c r="A3" s="3"/>
      <c r="B3" s="115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5">
        <f>AVERAGE(C28:M28)</f>
        <v>0.1575454545</v>
      </c>
    </row>
    <row r="5">
      <c r="B5" s="9" t="s">
        <v>6</v>
      </c>
      <c r="H5" s="15">
        <f>STDEV(C28:M28)</f>
        <v>0.03486649864</v>
      </c>
    </row>
    <row r="6">
      <c r="B6" s="9" t="s">
        <v>7</v>
      </c>
      <c r="H6" s="14">
        <f>(H4-0.03)/H5</f>
        <v>3.65810906</v>
      </c>
    </row>
    <row r="7">
      <c r="B7" s="9" t="s">
        <v>8</v>
      </c>
      <c r="H7" s="15">
        <f>AVERAGE(D28:I28)</f>
        <v>0.1558333333</v>
      </c>
    </row>
    <row r="8">
      <c r="B8" s="9" t="s">
        <v>9</v>
      </c>
      <c r="H8" s="15">
        <f>STDEV(D28:I28)</f>
        <v>0.0330418926</v>
      </c>
    </row>
    <row r="9">
      <c r="B9" s="9" t="s">
        <v>10</v>
      </c>
      <c r="H9" s="14">
        <f>(H7-0.03)/H8</f>
        <v>3.808296784</v>
      </c>
    </row>
    <row r="10">
      <c r="B10" s="9" t="s">
        <v>11</v>
      </c>
      <c r="H10" s="15">
        <f>(C20/M20)^(1/10)-1</f>
        <v>0.1361966277</v>
      </c>
    </row>
    <row r="11">
      <c r="B11" s="9" t="s">
        <v>12</v>
      </c>
      <c r="H11" s="16">
        <v>-41.2</v>
      </c>
    </row>
    <row r="12">
      <c r="B12" s="9" t="s">
        <v>13</v>
      </c>
      <c r="H12" s="17">
        <f>SLOPE(C31:M31,C15:M15)*100</f>
        <v>0.1945454545</v>
      </c>
    </row>
    <row r="15">
      <c r="A15" s="118" t="s">
        <v>14</v>
      </c>
      <c r="B15" s="118" t="s">
        <v>15</v>
      </c>
      <c r="C15" s="118">
        <v>2025.0</v>
      </c>
      <c r="D15" s="121">
        <v>2024.0</v>
      </c>
      <c r="E15" s="123">
        <v>2023.0</v>
      </c>
      <c r="F15" s="123">
        <v>2022.0</v>
      </c>
      <c r="G15" s="125">
        <v>2021.0</v>
      </c>
      <c r="H15" s="126">
        <v>2020.0</v>
      </c>
      <c r="I15" s="126">
        <v>2019.0</v>
      </c>
      <c r="J15" s="126">
        <v>2018.0</v>
      </c>
      <c r="K15" s="126">
        <v>2017.0</v>
      </c>
      <c r="L15" s="126">
        <v>2016.0</v>
      </c>
      <c r="M15" s="126">
        <v>2015.0</v>
      </c>
    </row>
    <row r="16">
      <c r="A16" s="129" t="s">
        <v>57</v>
      </c>
      <c r="B16" s="131"/>
      <c r="C16" s="131"/>
      <c r="D16" s="133"/>
      <c r="E16" s="135"/>
      <c r="F16" s="135"/>
      <c r="G16" s="137"/>
      <c r="H16" s="131"/>
      <c r="I16" s="131"/>
      <c r="J16" s="131"/>
      <c r="K16" s="131"/>
      <c r="L16" s="131"/>
      <c r="M16" s="131"/>
    </row>
    <row r="17">
      <c r="A17" s="52" t="s">
        <v>17</v>
      </c>
      <c r="B17" s="52" t="s">
        <v>18</v>
      </c>
      <c r="C17" s="138">
        <v>817797.6</v>
      </c>
      <c r="D17" s="139">
        <v>679875.5</v>
      </c>
      <c r="E17" s="140">
        <v>593883.1</v>
      </c>
      <c r="F17" s="140">
        <v>555473.6</v>
      </c>
      <c r="G17" s="141">
        <v>514399.8</v>
      </c>
      <c r="H17" s="138">
        <v>472355.4</v>
      </c>
      <c r="I17" s="138">
        <v>390362.0</v>
      </c>
      <c r="J17" s="138">
        <v>346468.8</v>
      </c>
      <c r="K17" s="138">
        <v>311906.8</v>
      </c>
      <c r="L17" s="138">
        <v>264797.4</v>
      </c>
      <c r="M17" s="138">
        <v>244057.6</v>
      </c>
    </row>
    <row r="18">
      <c r="A18" s="52" t="s">
        <v>21</v>
      </c>
      <c r="B18" s="52" t="s">
        <v>18</v>
      </c>
      <c r="C18" s="138">
        <v>450503.8</v>
      </c>
      <c r="D18" s="139">
        <v>428689.4</v>
      </c>
      <c r="E18" s="140">
        <v>412073.0</v>
      </c>
      <c r="F18" s="140">
        <v>364000.8</v>
      </c>
      <c r="G18" s="141">
        <v>319448.1</v>
      </c>
      <c r="H18" s="138">
        <v>273382.9</v>
      </c>
      <c r="I18" s="138">
        <v>256239.7</v>
      </c>
      <c r="J18" s="138">
        <v>231553.9</v>
      </c>
      <c r="K18" s="138">
        <v>207257.4</v>
      </c>
      <c r="L18" s="138">
        <v>173397.8</v>
      </c>
      <c r="M18" s="138">
        <v>152270.0</v>
      </c>
    </row>
    <row r="19">
      <c r="A19" s="52" t="s">
        <v>20</v>
      </c>
      <c r="B19" s="52" t="s">
        <v>18</v>
      </c>
      <c r="C19" s="138">
        <v>622057.8</v>
      </c>
      <c r="D19" s="139">
        <v>521872.5</v>
      </c>
      <c r="E19" s="140">
        <v>472590.1</v>
      </c>
      <c r="F19" s="140">
        <v>438131.3</v>
      </c>
      <c r="G19" s="141">
        <v>401500.3</v>
      </c>
      <c r="H19" s="138">
        <v>362611.0</v>
      </c>
      <c r="I19" s="138">
        <v>302159.2</v>
      </c>
      <c r="J19" s="138">
        <v>262467.7</v>
      </c>
      <c r="K19" s="138">
        <v>233796.4</v>
      </c>
      <c r="L19" s="138">
        <v>207234.0</v>
      </c>
      <c r="M19" s="138">
        <v>186765.0</v>
      </c>
    </row>
    <row r="20">
      <c r="A20" s="52" t="s">
        <v>22</v>
      </c>
      <c r="B20" s="52" t="s">
        <v>18</v>
      </c>
      <c r="C20" s="138">
        <v>60070.5</v>
      </c>
      <c r="D20" s="139">
        <v>51608.2</v>
      </c>
      <c r="E20" s="140">
        <v>48172.8</v>
      </c>
      <c r="F20" s="140">
        <v>41638.8</v>
      </c>
      <c r="G20" s="141">
        <v>36966.4</v>
      </c>
      <c r="H20" s="138">
        <v>32256.7</v>
      </c>
      <c r="I20" s="138">
        <v>27443.3</v>
      </c>
      <c r="J20" s="138">
        <v>23086.0</v>
      </c>
      <c r="K20" s="138">
        <v>19482.2</v>
      </c>
      <c r="L20" s="138">
        <v>17672.7</v>
      </c>
      <c r="M20" s="138">
        <v>16754.3</v>
      </c>
    </row>
    <row r="21" ht="15.75" customHeight="1">
      <c r="A21" s="129" t="s">
        <v>58</v>
      </c>
      <c r="B21" s="131"/>
      <c r="C21" s="131"/>
      <c r="D21" s="133"/>
      <c r="E21" s="135"/>
      <c r="F21" s="135"/>
      <c r="G21" s="137"/>
      <c r="H21" s="131"/>
      <c r="I21" s="131"/>
      <c r="J21" s="131"/>
      <c r="K21" s="131"/>
      <c r="L21" s="131"/>
      <c r="M21" s="131"/>
    </row>
    <row r="22" ht="15.75" customHeight="1">
      <c r="A22" s="52" t="s">
        <v>25</v>
      </c>
      <c r="B22" s="52" t="s">
        <v>18</v>
      </c>
      <c r="C22" s="138">
        <v>19871.9</v>
      </c>
      <c r="D22" s="139">
        <v>29256.2</v>
      </c>
      <c r="E22" s="63" t="s">
        <v>24</v>
      </c>
      <c r="F22" s="63" t="s">
        <v>24</v>
      </c>
      <c r="G22" s="66" t="s">
        <v>24</v>
      </c>
      <c r="H22" s="138">
        <v>14129.7</v>
      </c>
      <c r="I22" s="138">
        <v>17784.0</v>
      </c>
      <c r="J22" s="52" t="s">
        <v>24</v>
      </c>
      <c r="K22" s="52" t="s">
        <v>24</v>
      </c>
      <c r="L22" s="138">
        <v>9963.5</v>
      </c>
      <c r="M22" s="138">
        <v>9788.0</v>
      </c>
    </row>
    <row r="23" ht="15.75" customHeight="1">
      <c r="A23" s="52" t="s">
        <v>26</v>
      </c>
      <c r="B23" s="52" t="s">
        <v>18</v>
      </c>
      <c r="C23" s="138">
        <v>10078.5</v>
      </c>
      <c r="D23" s="139">
        <v>7258.4</v>
      </c>
      <c r="E23" s="63" t="s">
        <v>24</v>
      </c>
      <c r="F23" s="63" t="s">
        <v>24</v>
      </c>
      <c r="G23" s="66" t="s">
        <v>24</v>
      </c>
      <c r="H23" s="138">
        <v>5340.8</v>
      </c>
      <c r="I23" s="138">
        <v>5749.7</v>
      </c>
      <c r="J23" s="52" t="s">
        <v>24</v>
      </c>
      <c r="K23" s="52" t="s">
        <v>24</v>
      </c>
      <c r="L23" s="138">
        <v>3895.8</v>
      </c>
      <c r="M23" s="138">
        <v>3761.4</v>
      </c>
    </row>
    <row r="24" ht="15.75" customHeight="1">
      <c r="A24" s="52" t="s">
        <v>27</v>
      </c>
      <c r="B24" s="52" t="s">
        <v>18</v>
      </c>
      <c r="C24" s="138">
        <v>9647.7</v>
      </c>
      <c r="D24" s="139">
        <v>4734.8</v>
      </c>
      <c r="E24" s="140">
        <v>8017.4</v>
      </c>
      <c r="F24" s="140">
        <v>5661.7</v>
      </c>
      <c r="G24" s="141">
        <v>5561.1</v>
      </c>
      <c r="H24" s="138">
        <v>5498.7</v>
      </c>
      <c r="I24" s="138">
        <v>4341.4</v>
      </c>
      <c r="J24" s="138">
        <v>4201.4</v>
      </c>
      <c r="K24" s="138">
        <v>2455.2</v>
      </c>
      <c r="L24" s="138">
        <v>1775.2</v>
      </c>
      <c r="M24" s="138">
        <v>3020.3</v>
      </c>
    </row>
    <row r="25" ht="15.75" customHeight="1">
      <c r="A25" s="129" t="s">
        <v>28</v>
      </c>
      <c r="B25" s="131"/>
      <c r="C25" s="131"/>
      <c r="D25" s="133"/>
      <c r="E25" s="135"/>
      <c r="F25" s="135"/>
      <c r="G25" s="137"/>
      <c r="H25" s="131"/>
      <c r="I25" s="131"/>
      <c r="J25" s="131"/>
      <c r="K25" s="131"/>
      <c r="L25" s="131"/>
      <c r="M25" s="131"/>
    </row>
    <row r="26" ht="15.75" customHeight="1">
      <c r="A26" s="52" t="s">
        <v>61</v>
      </c>
      <c r="B26" s="52" t="s">
        <v>30</v>
      </c>
      <c r="C26" s="52">
        <v>9.98</v>
      </c>
      <c r="D26" s="60">
        <v>5.39</v>
      </c>
      <c r="E26" s="63">
        <v>10.72</v>
      </c>
      <c r="F26" s="63">
        <v>8.14</v>
      </c>
      <c r="G26" s="66">
        <v>8.8</v>
      </c>
      <c r="H26" s="52">
        <v>10.0</v>
      </c>
      <c r="I26" s="52">
        <v>8.7</v>
      </c>
      <c r="J26" s="52">
        <v>21.0</v>
      </c>
      <c r="K26" s="52">
        <v>12.3</v>
      </c>
      <c r="L26" s="52">
        <v>8.9</v>
      </c>
      <c r="M26" s="52">
        <v>15.1</v>
      </c>
    </row>
    <row r="27" ht="15.75" customHeight="1">
      <c r="A27" s="52" t="s">
        <v>31</v>
      </c>
      <c r="B27" s="52" t="s">
        <v>32</v>
      </c>
      <c r="C27" s="152">
        <v>0.013</v>
      </c>
      <c r="D27" s="153">
        <v>0.007</v>
      </c>
      <c r="E27" s="154">
        <v>0.014</v>
      </c>
      <c r="F27" s="154">
        <v>0.011</v>
      </c>
      <c r="G27" s="155">
        <v>0.011</v>
      </c>
      <c r="H27" s="152">
        <v>0.013</v>
      </c>
      <c r="I27" s="152">
        <v>0.012</v>
      </c>
      <c r="J27" s="152">
        <v>0.013</v>
      </c>
      <c r="K27" s="152">
        <v>0.009</v>
      </c>
      <c r="L27" s="152">
        <v>0.007</v>
      </c>
      <c r="M27" s="152">
        <v>0.013</v>
      </c>
    </row>
    <row r="28" ht="15.75" customHeight="1">
      <c r="A28" s="52" t="s">
        <v>33</v>
      </c>
      <c r="B28" s="52" t="s">
        <v>32</v>
      </c>
      <c r="C28" s="152">
        <v>0.173</v>
      </c>
      <c r="D28" s="153">
        <v>0.095</v>
      </c>
      <c r="E28" s="154">
        <v>0.179</v>
      </c>
      <c r="F28" s="154">
        <v>0.144</v>
      </c>
      <c r="G28" s="155">
        <v>0.161</v>
      </c>
      <c r="H28" s="152">
        <v>0.184</v>
      </c>
      <c r="I28" s="152">
        <v>0.172</v>
      </c>
      <c r="J28" s="152">
        <v>0.197</v>
      </c>
      <c r="K28" s="152">
        <v>0.132</v>
      </c>
      <c r="L28" s="152">
        <v>0.103</v>
      </c>
      <c r="M28" s="152">
        <v>0.193</v>
      </c>
    </row>
    <row r="29" ht="15.75" customHeight="1">
      <c r="A29" s="129" t="s">
        <v>34</v>
      </c>
      <c r="B29" s="131"/>
      <c r="C29" s="131"/>
      <c r="D29" s="133"/>
      <c r="E29" s="135"/>
      <c r="F29" s="135"/>
      <c r="G29" s="137"/>
      <c r="H29" s="131"/>
      <c r="I29" s="131"/>
      <c r="J29" s="131"/>
      <c r="K29" s="131"/>
      <c r="L29" s="131"/>
      <c r="M29" s="131"/>
    </row>
    <row r="30" ht="15.75" customHeight="1">
      <c r="A30" s="52" t="s">
        <v>38</v>
      </c>
      <c r="B30" s="52" t="s">
        <v>32</v>
      </c>
      <c r="C30" s="152">
        <v>0.68</v>
      </c>
      <c r="D30" s="153">
        <v>0.779</v>
      </c>
      <c r="E30" s="154">
        <v>0.826</v>
      </c>
      <c r="F30" s="154">
        <v>0.765</v>
      </c>
      <c r="G30" s="155">
        <v>0.718</v>
      </c>
      <c r="H30" s="152">
        <v>0.643</v>
      </c>
      <c r="I30" s="152">
        <v>0.739</v>
      </c>
      <c r="J30" s="152">
        <v>0.772</v>
      </c>
      <c r="K30" s="152">
        <v>0.756</v>
      </c>
      <c r="L30" s="152">
        <v>0.794</v>
      </c>
      <c r="M30" s="152">
        <v>0.815</v>
      </c>
    </row>
    <row r="31" ht="15.75" customHeight="1">
      <c r="A31" s="52" t="s">
        <v>35</v>
      </c>
      <c r="B31" s="52" t="s">
        <v>32</v>
      </c>
      <c r="C31" s="152">
        <v>0.064</v>
      </c>
      <c r="D31" s="153">
        <v>0.077</v>
      </c>
      <c r="E31" s="154">
        <v>0.041</v>
      </c>
      <c r="F31" s="154">
        <v>0.043</v>
      </c>
      <c r="G31" s="155">
        <v>0.037</v>
      </c>
      <c r="H31" s="152">
        <v>0.022</v>
      </c>
      <c r="I31" s="152">
        <v>0.044</v>
      </c>
      <c r="J31" s="152">
        <v>0.041</v>
      </c>
      <c r="K31" s="152">
        <v>0.047</v>
      </c>
      <c r="L31" s="152">
        <v>0.052</v>
      </c>
      <c r="M31" s="152">
        <v>0.037</v>
      </c>
    </row>
    <row r="32" ht="15.75" customHeight="1">
      <c r="A32" s="52" t="s">
        <v>37</v>
      </c>
      <c r="B32" s="52" t="s">
        <v>32</v>
      </c>
      <c r="C32" s="152">
        <v>1.182</v>
      </c>
      <c r="D32" s="153">
        <v>0.759</v>
      </c>
      <c r="E32" s="63" t="s">
        <v>24</v>
      </c>
      <c r="F32" s="63" t="s">
        <v>24</v>
      </c>
      <c r="G32" s="66" t="s">
        <v>24</v>
      </c>
      <c r="H32" s="52" t="s">
        <v>24</v>
      </c>
      <c r="I32" s="52" t="s">
        <v>24</v>
      </c>
      <c r="J32" s="52" t="s">
        <v>24</v>
      </c>
      <c r="K32" s="52" t="s">
        <v>24</v>
      </c>
      <c r="L32" s="52" t="s">
        <v>24</v>
      </c>
      <c r="M32" s="52" t="s">
        <v>24</v>
      </c>
    </row>
    <row r="33" ht="15.75" customHeight="1">
      <c r="A33" s="129" t="s">
        <v>39</v>
      </c>
      <c r="B33" s="131"/>
      <c r="C33" s="131"/>
      <c r="D33" s="133"/>
      <c r="E33" s="135"/>
      <c r="F33" s="135"/>
      <c r="G33" s="137"/>
      <c r="H33" s="131"/>
      <c r="I33" s="131"/>
      <c r="J33" s="131"/>
      <c r="K33" s="131"/>
      <c r="L33" s="131"/>
      <c r="M33" s="131"/>
    </row>
    <row r="34" ht="15.75" customHeight="1">
      <c r="A34" s="52" t="s">
        <v>45</v>
      </c>
      <c r="B34" s="52" t="s">
        <v>32</v>
      </c>
      <c r="C34" s="152">
        <v>0.171</v>
      </c>
      <c r="D34" s="153">
        <v>0.138</v>
      </c>
      <c r="E34" s="154">
        <v>0.162</v>
      </c>
      <c r="F34" s="154">
        <v>0.156</v>
      </c>
      <c r="G34" s="155">
        <v>0.164</v>
      </c>
      <c r="H34" s="152">
        <v>0.172</v>
      </c>
      <c r="I34" s="152">
        <v>0.155</v>
      </c>
      <c r="J34" s="152">
        <v>0.156</v>
      </c>
      <c r="K34" s="152">
        <v>0.13</v>
      </c>
      <c r="L34" s="152">
        <v>0.131</v>
      </c>
      <c r="M34" s="152">
        <v>0.137</v>
      </c>
    </row>
    <row r="35" ht="15.75" customHeight="1">
      <c r="A35" s="52" t="s">
        <v>46</v>
      </c>
      <c r="B35" s="52" t="s">
        <v>32</v>
      </c>
      <c r="C35" s="152">
        <v>0.497</v>
      </c>
      <c r="D35" s="153">
        <v>0.524</v>
      </c>
      <c r="E35" s="154">
        <v>0.595</v>
      </c>
      <c r="F35" s="154">
        <v>0.613</v>
      </c>
      <c r="G35" s="155">
        <v>0.588</v>
      </c>
      <c r="H35" s="152">
        <v>0.605</v>
      </c>
      <c r="I35" s="152">
        <v>0.582</v>
      </c>
      <c r="J35" s="152">
        <v>0.616</v>
      </c>
      <c r="K35" s="152">
        <v>0.693</v>
      </c>
      <c r="L35" s="152">
        <v>0.653</v>
      </c>
      <c r="M35" s="152">
        <v>0.588</v>
      </c>
    </row>
    <row r="36" ht="15.75" customHeight="1">
      <c r="A36" s="129" t="s">
        <v>48</v>
      </c>
      <c r="B36" s="131"/>
      <c r="C36" s="131"/>
      <c r="D36" s="133"/>
      <c r="E36" s="135"/>
      <c r="F36" s="135"/>
      <c r="G36" s="137"/>
      <c r="H36" s="131"/>
      <c r="I36" s="131"/>
      <c r="J36" s="131"/>
      <c r="K36" s="131"/>
      <c r="L36" s="131"/>
      <c r="M36" s="131"/>
    </row>
    <row r="37" ht="15.75" customHeight="1">
      <c r="A37" s="52" t="s">
        <v>63</v>
      </c>
      <c r="B37" s="52" t="s">
        <v>18</v>
      </c>
      <c r="C37" s="138">
        <v>28832.2</v>
      </c>
      <c r="D37" s="139">
        <v>33009.1</v>
      </c>
      <c r="E37" s="140">
        <v>16895.0</v>
      </c>
      <c r="F37" s="140">
        <v>15652.0</v>
      </c>
      <c r="G37" s="141">
        <v>11819.6</v>
      </c>
      <c r="H37" s="138">
        <v>6014.4</v>
      </c>
      <c r="I37" s="138">
        <v>11274.5</v>
      </c>
      <c r="J37" s="138">
        <v>9493.7</v>
      </c>
      <c r="K37" s="138">
        <v>9741.1</v>
      </c>
      <c r="L37" s="138">
        <v>9016.7</v>
      </c>
      <c r="M37" s="138">
        <v>5634.0</v>
      </c>
    </row>
    <row r="38" ht="15.75" customHeight="1">
      <c r="A38" s="52" t="s">
        <v>43</v>
      </c>
      <c r="B38" s="52" t="s">
        <v>32</v>
      </c>
      <c r="C38" s="152">
        <v>0.0353</v>
      </c>
      <c r="D38" s="153">
        <v>0.0486</v>
      </c>
      <c r="E38" s="154">
        <v>0.0284</v>
      </c>
      <c r="F38" s="154">
        <v>0.0282</v>
      </c>
      <c r="G38" s="155">
        <v>0.023</v>
      </c>
      <c r="H38" s="152">
        <v>0.0127</v>
      </c>
      <c r="I38" s="152">
        <v>0.0289</v>
      </c>
      <c r="J38" s="152">
        <v>0.0274</v>
      </c>
      <c r="K38" s="152">
        <v>0.0312</v>
      </c>
      <c r="L38" s="152">
        <v>0.0341</v>
      </c>
      <c r="M38" s="152">
        <v>0.0231</v>
      </c>
    </row>
    <row r="39" ht="15.75" customHeight="1">
      <c r="A39" s="99" t="s">
        <v>44</v>
      </c>
      <c r="B39" s="52" t="s">
        <v>32</v>
      </c>
      <c r="C39" s="152">
        <v>1.038</v>
      </c>
      <c r="D39" s="153">
        <v>-0.409</v>
      </c>
      <c r="E39" s="154">
        <v>0.416</v>
      </c>
      <c r="F39" s="154">
        <v>0.018</v>
      </c>
      <c r="G39" s="155">
        <v>0.011</v>
      </c>
      <c r="H39" s="152">
        <v>0.267</v>
      </c>
      <c r="I39" s="152">
        <v>0.033</v>
      </c>
      <c r="J39" s="152">
        <v>0.711</v>
      </c>
      <c r="K39" s="152">
        <v>0.383</v>
      </c>
      <c r="L39" s="152">
        <v>-0.412</v>
      </c>
      <c r="M39" s="152">
        <v>0.369</v>
      </c>
    </row>
    <row r="40" ht="15.75" customHeight="1">
      <c r="A40" s="52" t="s">
        <v>53</v>
      </c>
      <c r="B40" s="52" t="s">
        <v>32</v>
      </c>
      <c r="C40" s="152">
        <v>0.164</v>
      </c>
      <c r="D40" s="153">
        <v>0.071</v>
      </c>
      <c r="E40" s="154">
        <v>0.157</v>
      </c>
      <c r="F40" s="154">
        <v>0.126</v>
      </c>
      <c r="G40" s="155">
        <v>0.146</v>
      </c>
      <c r="H40" s="152">
        <v>0.175</v>
      </c>
      <c r="I40" s="152">
        <v>0.189</v>
      </c>
      <c r="J40" s="152">
        <v>0.185</v>
      </c>
      <c r="K40" s="152">
        <v>0.102</v>
      </c>
      <c r="L40" s="152">
        <v>0.055</v>
      </c>
      <c r="M40" s="152">
        <v>0.154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</row>
    <row r="49" ht="15.75" customHeight="1"/>
    <row r="50" ht="15.75" customHeight="1"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</row>
    <row r="51" ht="15.75" customHeight="1"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</row>
    <row r="52" ht="15.75" customHeight="1"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</row>
    <row r="53" ht="15.75" customHeight="1"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</row>
    <row r="54" ht="15.75" customHeight="1"/>
    <row r="55" ht="15.75" customHeight="1">
      <c r="B55" s="158"/>
      <c r="C55" s="158"/>
      <c r="D55" s="158"/>
      <c r="G55" s="158"/>
      <c r="H55" s="158"/>
      <c r="I55" s="158"/>
      <c r="K55" s="158"/>
      <c r="L55" s="158"/>
      <c r="M55" s="158"/>
    </row>
    <row r="56" ht="15.75" customHeight="1">
      <c r="B56" s="158"/>
      <c r="C56" s="158"/>
      <c r="D56" s="158"/>
      <c r="G56" s="158"/>
      <c r="H56" s="158"/>
      <c r="I56" s="158"/>
      <c r="K56" s="158"/>
      <c r="L56" s="158"/>
      <c r="M56" s="158"/>
    </row>
    <row r="57" ht="15.75" customHeight="1"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</row>
    <row r="58" ht="15.75" customHeight="1"/>
    <row r="59" ht="15.75" customHeight="1"/>
    <row r="60" ht="15.75" customHeight="1"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</row>
    <row r="61" ht="15.75" customHeight="1"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</row>
    <row r="62" ht="15.75" customHeight="1"/>
    <row r="63" ht="15.75" customHeight="1"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</row>
    <row r="64" ht="15.75" customHeight="1"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 ht="15.75" customHeight="1">
      <c r="C65" s="101"/>
      <c r="D65" s="101"/>
    </row>
    <row r="66" ht="15.75" customHeight="1"/>
    <row r="67" ht="15.75" customHeight="1"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</row>
    <row r="68" ht="15.75" customHeight="1"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</row>
    <row r="69" ht="15.75" customHeight="1"/>
    <row r="70" ht="15.75" customHeight="1"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</row>
    <row r="71" ht="15.75" customHeight="1"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</row>
    <row r="72" ht="15.75" customHeight="1"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</row>
    <row r="73" ht="15.75" customHeight="1"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2:F2"/>
    <mergeCell ref="A3:A13"/>
    <mergeCell ref="B3:H3"/>
    <mergeCell ref="B4:G4"/>
    <mergeCell ref="B5:G5"/>
    <mergeCell ref="B6:G6"/>
    <mergeCell ref="B7:G7"/>
    <mergeCell ref="B12:G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6" width="14.43"/>
  </cols>
  <sheetData>
    <row r="2">
      <c r="B2" s="4" t="s">
        <v>55</v>
      </c>
    </row>
    <row r="3">
      <c r="A3" s="114"/>
      <c r="B3" s="116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4">
        <f>AVERAGE(C27:M27)</f>
        <v>15.333</v>
      </c>
    </row>
    <row r="5">
      <c r="B5" s="9" t="s">
        <v>6</v>
      </c>
      <c r="H5" s="14">
        <f>STDEV(C27:M27)</f>
        <v>2.707820157</v>
      </c>
    </row>
    <row r="6">
      <c r="B6" s="9" t="s">
        <v>7</v>
      </c>
      <c r="H6" s="14">
        <f>(H4-3)/H5</f>
        <v>4.554586083</v>
      </c>
    </row>
    <row r="7">
      <c r="B7" s="9" t="s">
        <v>8</v>
      </c>
      <c r="H7" s="14">
        <f>AVERAGE(D27:I27)</f>
        <v>16.335</v>
      </c>
    </row>
    <row r="8">
      <c r="B8" s="9" t="s">
        <v>9</v>
      </c>
      <c r="H8" s="14">
        <f>STDEV(D27:I27)</f>
        <v>1.318313316</v>
      </c>
    </row>
    <row r="9">
      <c r="B9" s="9" t="s">
        <v>10</v>
      </c>
      <c r="H9" s="14">
        <f>(H7-3)/H8</f>
        <v>10.11519783</v>
      </c>
    </row>
    <row r="10">
      <c r="B10" s="9" t="s">
        <v>11</v>
      </c>
      <c r="H10" s="15">
        <f>(C19/M19)^(1/10)-1</f>
        <v>0.09512119525</v>
      </c>
    </row>
    <row r="11">
      <c r="B11" s="9" t="s">
        <v>12</v>
      </c>
      <c r="H11" s="16">
        <v>0.0</v>
      </c>
    </row>
    <row r="12">
      <c r="B12" s="9" t="s">
        <v>13</v>
      </c>
      <c r="H12" s="17">
        <f>SLOPE(C30:M30,C14:M14)</f>
        <v>-0.005627705628</v>
      </c>
    </row>
    <row r="14">
      <c r="A14" s="117" t="s">
        <v>14</v>
      </c>
      <c r="B14" s="117" t="s">
        <v>15</v>
      </c>
      <c r="C14" s="119">
        <v>2025.0</v>
      </c>
      <c r="D14" s="120">
        <v>2024.0</v>
      </c>
      <c r="E14" s="122">
        <v>2023.0</v>
      </c>
      <c r="F14" s="122">
        <v>2022.0</v>
      </c>
      <c r="G14" s="124">
        <v>2021.0</v>
      </c>
      <c r="H14" s="119">
        <v>2020.0</v>
      </c>
      <c r="I14" s="119">
        <v>2019.0</v>
      </c>
      <c r="J14" s="119">
        <v>2018.0</v>
      </c>
      <c r="K14" s="119">
        <v>2017.0</v>
      </c>
      <c r="L14" s="119">
        <v>2016.0</v>
      </c>
      <c r="M14" s="119">
        <v>2015.0</v>
      </c>
    </row>
    <row r="15">
      <c r="A15" s="128" t="s">
        <v>16</v>
      </c>
      <c r="B15" s="130"/>
      <c r="C15" s="130"/>
      <c r="D15" s="132"/>
      <c r="E15" s="134"/>
      <c r="F15" s="134"/>
      <c r="G15" s="136"/>
      <c r="H15" s="130"/>
      <c r="I15" s="130"/>
      <c r="J15" s="130"/>
      <c r="K15" s="130"/>
      <c r="L15" s="130"/>
      <c r="M15" s="130"/>
    </row>
    <row r="16">
      <c r="A16" s="52" t="s">
        <v>17</v>
      </c>
      <c r="B16" s="52" t="s">
        <v>18</v>
      </c>
      <c r="C16" s="138">
        <v>761604.0</v>
      </c>
      <c r="D16" s="139">
        <v>616050.0</v>
      </c>
      <c r="E16" s="140">
        <v>506271.0</v>
      </c>
      <c r="F16" s="140">
        <v>455989.0</v>
      </c>
      <c r="G16" s="141">
        <v>388815.0</v>
      </c>
      <c r="H16" s="138">
        <v>336936.0</v>
      </c>
      <c r="I16" s="138">
        <v>335163.0</v>
      </c>
      <c r="J16" s="138">
        <v>282451.0</v>
      </c>
      <c r="K16" s="138">
        <v>253068.0</v>
      </c>
      <c r="L16" s="138" t="s">
        <v>24</v>
      </c>
      <c r="M16" s="138">
        <v>189563.0</v>
      </c>
    </row>
    <row r="17">
      <c r="A17" s="52" t="s">
        <v>19</v>
      </c>
      <c r="B17" s="52" t="s">
        <v>18</v>
      </c>
      <c r="C17" s="138">
        <v>477040.0</v>
      </c>
      <c r="D17" s="139">
        <v>410718.0</v>
      </c>
      <c r="E17" s="140">
        <v>353357.0</v>
      </c>
      <c r="F17" s="140">
        <v>308916.0</v>
      </c>
      <c r="G17" s="141">
        <v>269394.0</v>
      </c>
      <c r="H17" s="138">
        <v>228944.0</v>
      </c>
      <c r="I17" s="138">
        <v>232051.0</v>
      </c>
      <c r="J17" s="138">
        <v>209306.0</v>
      </c>
      <c r="K17" s="138">
        <v>184027.0</v>
      </c>
      <c r="L17" s="138" t="s">
        <v>24</v>
      </c>
      <c r="M17" s="138">
        <v>130226.0</v>
      </c>
    </row>
    <row r="18">
      <c r="A18" s="52" t="s">
        <v>20</v>
      </c>
      <c r="B18" s="52" t="s">
        <v>18</v>
      </c>
      <c r="C18" s="138">
        <v>556454.0</v>
      </c>
      <c r="D18" s="139">
        <v>457692.0</v>
      </c>
      <c r="E18" s="140">
        <v>366104.0</v>
      </c>
      <c r="F18" s="140">
        <v>317097.0</v>
      </c>
      <c r="G18" s="141">
        <v>268019.0</v>
      </c>
      <c r="H18" s="138">
        <v>242358.0</v>
      </c>
      <c r="I18" s="138">
        <v>240164.0</v>
      </c>
      <c r="J18" s="138">
        <v>199629.0</v>
      </c>
      <c r="K18" s="138">
        <v>167348.0</v>
      </c>
      <c r="L18" s="138" t="s">
        <v>24</v>
      </c>
      <c r="M18" s="138">
        <v>127990.0</v>
      </c>
    </row>
    <row r="19">
      <c r="A19" s="52" t="s">
        <v>22</v>
      </c>
      <c r="B19" s="52" t="s">
        <v>18</v>
      </c>
      <c r="C19" s="138">
        <v>50850.0</v>
      </c>
      <c r="D19" s="139">
        <v>43064.0</v>
      </c>
      <c r="E19" s="140">
        <v>37484.0</v>
      </c>
      <c r="F19" s="140">
        <v>35045.0</v>
      </c>
      <c r="G19" s="141">
        <v>31017.0</v>
      </c>
      <c r="H19" s="138">
        <v>28976.0</v>
      </c>
      <c r="I19" s="138">
        <v>25567.0</v>
      </c>
      <c r="J19" s="138">
        <v>22966.0</v>
      </c>
      <c r="K19" s="138">
        <v>21586.0</v>
      </c>
      <c r="L19" s="138" t="s">
        <v>24</v>
      </c>
      <c r="M19" s="138">
        <v>20496.0</v>
      </c>
    </row>
    <row r="20">
      <c r="A20" s="128" t="s">
        <v>23</v>
      </c>
      <c r="B20" s="130"/>
      <c r="C20" s="130"/>
      <c r="D20" s="132"/>
      <c r="E20" s="134"/>
      <c r="F20" s="134"/>
      <c r="G20" s="136"/>
      <c r="H20" s="130"/>
      <c r="I20" s="130"/>
      <c r="J20" s="130"/>
      <c r="K20" s="130"/>
      <c r="L20" s="130"/>
      <c r="M20" s="130"/>
    </row>
    <row r="21" ht="15.75" customHeight="1">
      <c r="A21" s="52" t="s">
        <v>25</v>
      </c>
      <c r="B21" s="52" t="s">
        <v>18</v>
      </c>
      <c r="C21" s="138">
        <v>9833.0</v>
      </c>
      <c r="D21" s="139">
        <v>10585.0</v>
      </c>
      <c r="E21" s="140">
        <v>8148.0</v>
      </c>
      <c r="F21" s="140">
        <v>6699.0</v>
      </c>
      <c r="G21" s="141">
        <v>7761.0</v>
      </c>
      <c r="H21" s="138">
        <v>5930.0</v>
      </c>
      <c r="I21" s="138">
        <v>8159.0</v>
      </c>
      <c r="J21" s="138">
        <v>7506.0</v>
      </c>
      <c r="K21" s="138">
        <v>5745.0</v>
      </c>
      <c r="L21" s="138" t="s">
        <v>24</v>
      </c>
      <c r="M21" s="138">
        <v>3545.0</v>
      </c>
    </row>
    <row r="22" ht="15.75" customHeight="1">
      <c r="A22" s="52" t="s">
        <v>26</v>
      </c>
      <c r="B22" s="52" t="s">
        <v>18</v>
      </c>
      <c r="C22" s="138">
        <v>21144.0</v>
      </c>
      <c r="D22" s="139">
        <v>16042.0</v>
      </c>
      <c r="E22" s="140">
        <v>12380.0</v>
      </c>
      <c r="F22" s="140">
        <v>11090.0</v>
      </c>
      <c r="G22" s="141">
        <v>9397.0</v>
      </c>
      <c r="H22" s="138">
        <v>8204.0</v>
      </c>
      <c r="I22" s="138">
        <v>6439.0</v>
      </c>
      <c r="J22" s="138">
        <v>5633.0</v>
      </c>
      <c r="K22" s="138">
        <v>6656.0</v>
      </c>
      <c r="L22" s="138" t="s">
        <v>24</v>
      </c>
      <c r="M22" s="138">
        <v>6542.0</v>
      </c>
    </row>
    <row r="23" ht="15.75" customHeight="1">
      <c r="A23" s="52" t="s">
        <v>27</v>
      </c>
      <c r="B23" s="52" t="s">
        <v>18</v>
      </c>
      <c r="C23" s="138">
        <v>9010.0</v>
      </c>
      <c r="D23" s="139">
        <v>7504.0</v>
      </c>
      <c r="E23" s="140">
        <v>6109.0</v>
      </c>
      <c r="F23" s="140">
        <v>5107.0</v>
      </c>
      <c r="G23" s="141">
        <v>4654.0</v>
      </c>
      <c r="H23" s="138">
        <v>4103.0</v>
      </c>
      <c r="I23" s="138">
        <v>4008.0</v>
      </c>
      <c r="J23" s="138">
        <v>3081.0</v>
      </c>
      <c r="K23" s="138">
        <v>2405.0</v>
      </c>
      <c r="L23" s="138" t="s">
        <v>24</v>
      </c>
      <c r="M23" s="138">
        <v>2221.0</v>
      </c>
    </row>
    <row r="24" ht="15.75" customHeight="1">
      <c r="A24" s="128" t="s">
        <v>28</v>
      </c>
      <c r="B24" s="130"/>
      <c r="C24" s="130"/>
      <c r="D24" s="132"/>
      <c r="E24" s="134"/>
      <c r="F24" s="134"/>
      <c r="G24" s="136"/>
      <c r="H24" s="130"/>
      <c r="I24" s="130"/>
      <c r="J24" s="130"/>
      <c r="K24" s="130"/>
      <c r="L24" s="130"/>
      <c r="M24" s="130"/>
    </row>
    <row r="25" ht="15.75" customHeight="1">
      <c r="A25" s="52" t="s">
        <v>29</v>
      </c>
      <c r="B25" s="52" t="s">
        <v>30</v>
      </c>
      <c r="C25" s="52">
        <v>5.65</v>
      </c>
      <c r="D25" s="60">
        <v>5.53</v>
      </c>
      <c r="E25" s="63">
        <v>5.06</v>
      </c>
      <c r="F25" s="63">
        <v>4.76</v>
      </c>
      <c r="G25" s="66">
        <v>4.88</v>
      </c>
      <c r="H25" s="52">
        <v>5.05</v>
      </c>
      <c r="I25" s="52">
        <v>4.94</v>
      </c>
      <c r="J25" s="52">
        <v>4.17</v>
      </c>
      <c r="K25" s="52">
        <v>3.26</v>
      </c>
      <c r="L25" s="52" t="s">
        <v>24</v>
      </c>
      <c r="M25" s="52">
        <v>3.63</v>
      </c>
    </row>
    <row r="26" ht="15.75" customHeight="1">
      <c r="A26" s="52" t="s">
        <v>31</v>
      </c>
      <c r="B26" s="52" t="s">
        <v>32</v>
      </c>
      <c r="C26" s="52">
        <v>1.31</v>
      </c>
      <c r="D26" s="60">
        <v>1.34</v>
      </c>
      <c r="E26" s="63">
        <v>1.27</v>
      </c>
      <c r="F26" s="63">
        <v>1.21</v>
      </c>
      <c r="G26" s="66">
        <v>1.28</v>
      </c>
      <c r="H26" s="52">
        <v>1.22</v>
      </c>
      <c r="I26" s="52">
        <v>1.3</v>
      </c>
      <c r="J26" s="52">
        <v>1.15</v>
      </c>
      <c r="K26" s="52">
        <v>1.04</v>
      </c>
      <c r="L26" s="52" t="s">
        <v>24</v>
      </c>
      <c r="M26" s="52">
        <v>1.23</v>
      </c>
    </row>
    <row r="27" ht="15.75" customHeight="1">
      <c r="A27" s="52" t="s">
        <v>33</v>
      </c>
      <c r="B27" s="52" t="s">
        <v>32</v>
      </c>
      <c r="C27" s="52">
        <v>19.13</v>
      </c>
      <c r="D27" s="60">
        <v>18.63</v>
      </c>
      <c r="E27" s="63">
        <v>16.85</v>
      </c>
      <c r="F27" s="63">
        <v>15.46</v>
      </c>
      <c r="G27" s="66">
        <v>15.51</v>
      </c>
      <c r="H27" s="52">
        <v>15.04</v>
      </c>
      <c r="I27" s="52">
        <v>16.52</v>
      </c>
      <c r="J27" s="52">
        <v>13.83</v>
      </c>
      <c r="K27" s="52">
        <v>11.41</v>
      </c>
      <c r="L27" s="52" t="s">
        <v>24</v>
      </c>
      <c r="M27" s="52">
        <v>10.95</v>
      </c>
    </row>
    <row r="28" ht="15.75" customHeight="1">
      <c r="A28" s="128" t="s">
        <v>34</v>
      </c>
      <c r="B28" s="130"/>
      <c r="C28" s="130"/>
      <c r="D28" s="132"/>
      <c r="E28" s="134"/>
      <c r="F28" s="134"/>
      <c r="G28" s="136"/>
      <c r="H28" s="130"/>
      <c r="I28" s="130"/>
      <c r="J28" s="130"/>
      <c r="K28" s="130"/>
      <c r="L28" s="130"/>
      <c r="M28" s="130"/>
    </row>
    <row r="29" ht="15.75" customHeight="1">
      <c r="A29" s="52" t="s">
        <v>38</v>
      </c>
      <c r="B29" s="52" t="s">
        <v>32</v>
      </c>
      <c r="C29" s="52">
        <v>74.65</v>
      </c>
      <c r="D29" s="60">
        <v>80.19</v>
      </c>
      <c r="E29" s="63">
        <v>79.45</v>
      </c>
      <c r="F29" s="63">
        <v>77.83</v>
      </c>
      <c r="G29" s="66">
        <v>79.69</v>
      </c>
      <c r="H29" s="52">
        <v>74.13</v>
      </c>
      <c r="I29" s="52">
        <v>77.2</v>
      </c>
      <c r="J29" s="52">
        <v>83.08</v>
      </c>
      <c r="K29" s="52">
        <v>83.06</v>
      </c>
      <c r="L29" s="52" t="s">
        <v>24</v>
      </c>
      <c r="M29" s="52">
        <v>87.87</v>
      </c>
    </row>
    <row r="30" ht="15.75" customHeight="1">
      <c r="A30" s="52" t="s">
        <v>35</v>
      </c>
      <c r="B30" s="52" t="s">
        <v>32</v>
      </c>
      <c r="C30" s="52">
        <v>2.24</v>
      </c>
      <c r="D30" s="60">
        <v>3.34</v>
      </c>
      <c r="E30" s="63">
        <v>3.1</v>
      </c>
      <c r="F30" s="63">
        <v>2.78</v>
      </c>
      <c r="G30" s="66">
        <v>3.7</v>
      </c>
      <c r="H30" s="52">
        <v>2.72</v>
      </c>
      <c r="I30" s="52">
        <v>3.35</v>
      </c>
      <c r="J30" s="52">
        <v>2.35</v>
      </c>
      <c r="K30" s="52">
        <v>2.5</v>
      </c>
      <c r="L30" s="52" t="s">
        <v>24</v>
      </c>
      <c r="M30" s="52">
        <v>3.27</v>
      </c>
    </row>
    <row r="31" ht="15.75" customHeight="1">
      <c r="A31" s="52" t="s">
        <v>37</v>
      </c>
      <c r="B31" s="52" t="s">
        <v>32</v>
      </c>
      <c r="C31" s="52">
        <v>161.04</v>
      </c>
      <c r="D31" s="60">
        <v>114.49</v>
      </c>
      <c r="E31" s="63">
        <v>147.61</v>
      </c>
      <c r="F31" s="63">
        <v>168.46</v>
      </c>
      <c r="G31" s="66">
        <v>141.31</v>
      </c>
      <c r="H31" s="52">
        <v>179.51</v>
      </c>
      <c r="I31" s="52">
        <v>120.42</v>
      </c>
      <c r="J31" s="52">
        <v>150.39</v>
      </c>
      <c r="K31" s="52">
        <v>159.52</v>
      </c>
      <c r="L31" s="52" t="s">
        <v>24</v>
      </c>
      <c r="M31" s="52">
        <v>116.85</v>
      </c>
    </row>
    <row r="32" ht="15.75" customHeight="1">
      <c r="A32" s="128" t="s">
        <v>39</v>
      </c>
      <c r="B32" s="130"/>
      <c r="C32" s="130"/>
      <c r="D32" s="132"/>
      <c r="E32" s="134"/>
      <c r="F32" s="134"/>
      <c r="G32" s="136"/>
      <c r="H32" s="130"/>
      <c r="I32" s="130"/>
      <c r="J32" s="130"/>
      <c r="K32" s="130"/>
      <c r="L32" s="130"/>
      <c r="M32" s="130"/>
    </row>
    <row r="33" ht="15.75" customHeight="1">
      <c r="A33" s="52" t="s">
        <v>45</v>
      </c>
      <c r="B33" s="52" t="s">
        <v>32</v>
      </c>
      <c r="C33" s="52">
        <v>14.88</v>
      </c>
      <c r="D33" s="60">
        <v>14.65</v>
      </c>
      <c r="E33" s="63">
        <v>15.07</v>
      </c>
      <c r="F33" s="63">
        <v>14.61</v>
      </c>
      <c r="G33" s="66">
        <v>13.87</v>
      </c>
      <c r="H33" s="52">
        <v>15.03</v>
      </c>
      <c r="I33" s="52">
        <v>14.74</v>
      </c>
      <c r="J33" s="52">
        <v>12.16</v>
      </c>
      <c r="K33" s="52">
        <v>14.09</v>
      </c>
      <c r="L33" s="52" t="s">
        <v>24</v>
      </c>
      <c r="M33" s="52">
        <v>13.92</v>
      </c>
    </row>
    <row r="34" ht="15.75" customHeight="1">
      <c r="A34" s="52" t="s">
        <v>46</v>
      </c>
      <c r="B34" s="52" t="s">
        <v>32</v>
      </c>
      <c r="C34" s="52">
        <v>41.69</v>
      </c>
      <c r="D34" s="60">
        <v>40.95</v>
      </c>
      <c r="E34" s="63">
        <v>44.22</v>
      </c>
      <c r="F34" s="63">
        <v>43.53</v>
      </c>
      <c r="G34" s="66">
        <v>39.1</v>
      </c>
      <c r="H34" s="52">
        <v>45.8</v>
      </c>
      <c r="I34" s="52">
        <v>43.76</v>
      </c>
      <c r="J34" s="52">
        <v>45.63</v>
      </c>
      <c r="K34" s="52">
        <v>45.2</v>
      </c>
      <c r="L34" s="52" t="s">
        <v>24</v>
      </c>
      <c r="M34" s="52">
        <v>48.33</v>
      </c>
    </row>
    <row r="35" ht="15.75" customHeight="1">
      <c r="A35" s="128" t="s">
        <v>48</v>
      </c>
      <c r="B35" s="130"/>
      <c r="C35" s="130"/>
      <c r="D35" s="132"/>
      <c r="E35" s="134"/>
      <c r="F35" s="134"/>
      <c r="G35" s="136"/>
      <c r="H35" s="130"/>
      <c r="I35" s="130"/>
      <c r="J35" s="130"/>
      <c r="K35" s="130"/>
      <c r="L35" s="130"/>
      <c r="M35" s="130"/>
    </row>
    <row r="36" ht="15.75" customHeight="1">
      <c r="A36" s="52" t="s">
        <v>50</v>
      </c>
      <c r="B36" s="52" t="s">
        <v>18</v>
      </c>
      <c r="C36" s="138">
        <v>10685.7</v>
      </c>
      <c r="D36" s="139">
        <v>13718.0</v>
      </c>
      <c r="E36" s="140">
        <v>10954.1</v>
      </c>
      <c r="F36" s="140">
        <v>8587.9</v>
      </c>
      <c r="G36" s="141">
        <v>9967.6</v>
      </c>
      <c r="H36" s="138">
        <v>6227.3</v>
      </c>
      <c r="I36" s="138">
        <v>7773.7</v>
      </c>
      <c r="J36" s="138">
        <v>4918.7</v>
      </c>
      <c r="K36" s="138">
        <v>4600.7</v>
      </c>
      <c r="L36" s="138" t="s">
        <v>24</v>
      </c>
      <c r="M36" s="138">
        <v>4258.4</v>
      </c>
    </row>
    <row r="37" ht="15.75" customHeight="1">
      <c r="A37" s="52" t="s">
        <v>52</v>
      </c>
      <c r="B37" s="52" t="s">
        <v>32</v>
      </c>
      <c r="C37" s="52">
        <v>1.4</v>
      </c>
      <c r="D37" s="60">
        <v>2.23</v>
      </c>
      <c r="E37" s="63">
        <v>2.16</v>
      </c>
      <c r="F37" s="63">
        <v>1.88</v>
      </c>
      <c r="G37" s="66">
        <v>2.56</v>
      </c>
      <c r="H37" s="52">
        <v>1.85</v>
      </c>
      <c r="I37" s="52">
        <v>2.32</v>
      </c>
      <c r="J37" s="52">
        <v>1.74</v>
      </c>
      <c r="K37" s="52">
        <v>1.82</v>
      </c>
      <c r="L37" s="52" t="s">
        <v>24</v>
      </c>
      <c r="M37" s="52">
        <v>2.25</v>
      </c>
    </row>
    <row r="38" ht="15.75" customHeight="1">
      <c r="A38" s="52" t="s">
        <v>44</v>
      </c>
      <c r="B38" s="52" t="s">
        <v>32</v>
      </c>
      <c r="C38" s="52">
        <v>20.1</v>
      </c>
      <c r="D38" s="60">
        <v>22.8</v>
      </c>
      <c r="E38" s="63">
        <v>19.6</v>
      </c>
      <c r="F38" s="63">
        <v>9.7</v>
      </c>
      <c r="G38" s="66">
        <v>13.4</v>
      </c>
      <c r="H38" s="52">
        <v>2.4</v>
      </c>
      <c r="I38" s="52">
        <v>30.1</v>
      </c>
      <c r="J38" s="52">
        <v>28.1</v>
      </c>
      <c r="K38" s="52" t="s">
        <v>24</v>
      </c>
      <c r="L38" s="52" t="s">
        <v>24</v>
      </c>
      <c r="M38" s="52">
        <v>5.4</v>
      </c>
    </row>
    <row r="39" ht="15.75" customHeight="1">
      <c r="A39" s="52" t="s">
        <v>53</v>
      </c>
      <c r="B39" s="52" t="s">
        <v>32</v>
      </c>
      <c r="C39" s="52">
        <v>18.1</v>
      </c>
      <c r="D39" s="60">
        <v>14.9</v>
      </c>
      <c r="E39" s="63">
        <v>7.0</v>
      </c>
      <c r="F39" s="63">
        <v>13.0</v>
      </c>
      <c r="G39" s="66">
        <v>7.0</v>
      </c>
      <c r="H39" s="52">
        <v>13.3</v>
      </c>
      <c r="I39" s="52">
        <v>11.3</v>
      </c>
      <c r="J39" s="152"/>
      <c r="K39" s="152"/>
      <c r="L39" s="152"/>
      <c r="M39" s="15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157" t="s">
        <v>14</v>
      </c>
      <c r="B48" s="157" t="s">
        <v>15</v>
      </c>
      <c r="C48" s="157">
        <v>2025.0</v>
      </c>
      <c r="D48" s="157">
        <v>2024.0</v>
      </c>
      <c r="E48" s="157">
        <v>2023.0</v>
      </c>
      <c r="F48" s="157">
        <v>2022.0</v>
      </c>
      <c r="G48" s="157">
        <v>2021.0</v>
      </c>
      <c r="H48" s="157">
        <v>2020.0</v>
      </c>
      <c r="I48" s="157">
        <v>2019.0</v>
      </c>
      <c r="J48" s="157">
        <v>2018.0</v>
      </c>
      <c r="K48" s="157">
        <v>2017.0</v>
      </c>
      <c r="L48" s="157">
        <v>2016.0</v>
      </c>
      <c r="M48" s="157">
        <v>2015.0</v>
      </c>
    </row>
    <row r="49" ht="15.75" customHeight="1">
      <c r="A49" s="3" t="s">
        <v>16</v>
      </c>
    </row>
    <row r="50" ht="15.75" customHeight="1">
      <c r="A50" s="3" t="s">
        <v>17</v>
      </c>
      <c r="B50" s="159" t="s">
        <v>18</v>
      </c>
      <c r="C50" s="159">
        <v>761604.0</v>
      </c>
      <c r="D50" s="159">
        <v>616050.0</v>
      </c>
      <c r="E50" s="159">
        <v>506271.0</v>
      </c>
      <c r="F50" s="159">
        <v>455989.0</v>
      </c>
      <c r="G50" s="159">
        <v>388815.0</v>
      </c>
      <c r="H50" s="159">
        <v>336936.0</v>
      </c>
      <c r="I50" s="159">
        <v>335163.0</v>
      </c>
      <c r="J50" s="159">
        <v>282451.0</v>
      </c>
      <c r="K50" s="158">
        <v>253068.0</v>
      </c>
      <c r="L50" s="159" t="s">
        <v>24</v>
      </c>
      <c r="M50" s="158">
        <v>189563.0</v>
      </c>
    </row>
    <row r="51" ht="15.75" customHeight="1">
      <c r="A51" s="3" t="s">
        <v>19</v>
      </c>
      <c r="B51" s="159" t="s">
        <v>18</v>
      </c>
      <c r="C51" s="159">
        <v>477040.0</v>
      </c>
      <c r="D51" s="159">
        <v>410718.0</v>
      </c>
      <c r="E51" s="159">
        <v>353357.0</v>
      </c>
      <c r="F51" s="159">
        <v>308916.0</v>
      </c>
      <c r="G51" s="159">
        <v>269394.0</v>
      </c>
      <c r="H51" s="159">
        <v>228944.0</v>
      </c>
      <c r="I51" s="159">
        <v>232051.0</v>
      </c>
      <c r="J51" s="159">
        <v>209306.0</v>
      </c>
      <c r="K51" s="158">
        <v>184027.0</v>
      </c>
      <c r="L51" s="159" t="s">
        <v>24</v>
      </c>
      <c r="M51" s="158">
        <v>130226.0</v>
      </c>
    </row>
    <row r="52" ht="15.75" customHeight="1">
      <c r="A52" s="3" t="s">
        <v>20</v>
      </c>
      <c r="B52" s="159" t="s">
        <v>18</v>
      </c>
      <c r="C52" s="159">
        <v>556454.0</v>
      </c>
      <c r="D52" s="159">
        <v>457692.0</v>
      </c>
      <c r="E52" s="159">
        <v>366104.0</v>
      </c>
      <c r="F52" s="159">
        <v>317097.0</v>
      </c>
      <c r="G52" s="159">
        <v>268019.0</v>
      </c>
      <c r="H52" s="159">
        <v>242358.0</v>
      </c>
      <c r="I52" s="159">
        <v>240164.0</v>
      </c>
      <c r="J52" s="159">
        <v>199629.0</v>
      </c>
      <c r="K52" s="158">
        <v>167348.0</v>
      </c>
      <c r="L52" s="159" t="s">
        <v>24</v>
      </c>
      <c r="M52" s="158">
        <v>127990.0</v>
      </c>
    </row>
    <row r="53" ht="15.75" customHeight="1">
      <c r="A53" s="3" t="s">
        <v>22</v>
      </c>
      <c r="B53" s="159" t="s">
        <v>18</v>
      </c>
      <c r="C53" s="159">
        <v>50850.0</v>
      </c>
      <c r="D53" s="159">
        <v>43064.0</v>
      </c>
      <c r="E53" s="159">
        <v>37484.0</v>
      </c>
      <c r="F53" s="159">
        <v>35045.0</v>
      </c>
      <c r="G53" s="159">
        <v>31017.0</v>
      </c>
      <c r="H53" s="159">
        <v>28976.0</v>
      </c>
      <c r="I53" s="159">
        <v>25567.0</v>
      </c>
      <c r="J53" s="159">
        <v>22966.0</v>
      </c>
      <c r="K53" s="158">
        <v>21586.0</v>
      </c>
      <c r="L53" s="159" t="s">
        <v>24</v>
      </c>
      <c r="M53" s="158">
        <v>20496.0</v>
      </c>
    </row>
    <row r="54" ht="15.75" customHeight="1">
      <c r="A54" s="3" t="s">
        <v>23</v>
      </c>
    </row>
    <row r="55" ht="15.75" customHeight="1">
      <c r="A55" s="3" t="s">
        <v>25</v>
      </c>
      <c r="B55" s="159" t="s">
        <v>18</v>
      </c>
      <c r="C55" s="159">
        <v>9833.0</v>
      </c>
      <c r="D55" s="159">
        <v>10585.0</v>
      </c>
      <c r="E55" s="159">
        <v>8148.0</v>
      </c>
      <c r="F55" s="159">
        <v>6699.0</v>
      </c>
      <c r="G55" s="159">
        <v>7761.0</v>
      </c>
      <c r="H55" s="159">
        <v>5930.0</v>
      </c>
      <c r="I55" s="159">
        <v>8159.0</v>
      </c>
      <c r="J55" s="159">
        <v>7506.0</v>
      </c>
      <c r="K55" s="158">
        <v>5745.0</v>
      </c>
      <c r="L55" s="159" t="s">
        <v>24</v>
      </c>
      <c r="M55" s="158">
        <v>3545.0</v>
      </c>
    </row>
    <row r="56" ht="15.75" customHeight="1">
      <c r="A56" s="3" t="s">
        <v>26</v>
      </c>
      <c r="B56" s="159" t="s">
        <v>18</v>
      </c>
      <c r="C56" s="159">
        <v>21144.0</v>
      </c>
      <c r="D56" s="159">
        <v>16042.0</v>
      </c>
      <c r="E56" s="159">
        <v>12380.0</v>
      </c>
      <c r="F56" s="159">
        <v>11090.0</v>
      </c>
      <c r="G56" s="159">
        <v>9397.0</v>
      </c>
      <c r="H56" s="159">
        <v>8204.0</v>
      </c>
      <c r="I56" s="159">
        <v>6439.0</v>
      </c>
      <c r="J56" s="159">
        <v>5633.0</v>
      </c>
      <c r="K56" s="158">
        <v>6656.0</v>
      </c>
      <c r="L56" s="159" t="s">
        <v>24</v>
      </c>
      <c r="M56" s="158">
        <v>6542.0</v>
      </c>
    </row>
    <row r="57" ht="15.75" customHeight="1">
      <c r="A57" s="3" t="s">
        <v>27</v>
      </c>
      <c r="B57" s="159" t="s">
        <v>18</v>
      </c>
      <c r="C57" s="159">
        <v>9010.0</v>
      </c>
      <c r="D57" s="159">
        <v>7504.0</v>
      </c>
      <c r="E57" s="159">
        <v>6109.0</v>
      </c>
      <c r="F57" s="159">
        <v>5107.0</v>
      </c>
      <c r="G57" s="159">
        <v>4654.0</v>
      </c>
      <c r="H57" s="159">
        <v>4103.0</v>
      </c>
      <c r="I57" s="159">
        <v>4008.0</v>
      </c>
      <c r="J57" s="159">
        <v>3081.0</v>
      </c>
      <c r="K57" s="158">
        <v>2405.0</v>
      </c>
      <c r="L57" s="159" t="s">
        <v>24</v>
      </c>
      <c r="M57" s="158">
        <v>2221.0</v>
      </c>
    </row>
    <row r="58" ht="15.75" customHeight="1">
      <c r="A58" s="3" t="s">
        <v>28</v>
      </c>
    </row>
    <row r="59" ht="15.75" customHeight="1">
      <c r="A59" s="3" t="s">
        <v>29</v>
      </c>
      <c r="B59" s="3" t="s">
        <v>30</v>
      </c>
      <c r="C59" s="3">
        <v>5.65</v>
      </c>
      <c r="D59" s="3">
        <v>5.53</v>
      </c>
      <c r="E59" s="3">
        <v>5.06</v>
      </c>
      <c r="F59" s="3">
        <v>4.76</v>
      </c>
      <c r="G59" s="3">
        <v>4.88</v>
      </c>
      <c r="H59" s="3">
        <v>5.05</v>
      </c>
      <c r="I59" s="3">
        <v>4.94</v>
      </c>
      <c r="J59" s="3">
        <v>4.17</v>
      </c>
      <c r="K59" s="3">
        <v>3.26</v>
      </c>
      <c r="L59" s="3" t="s">
        <v>24</v>
      </c>
      <c r="M59" s="3">
        <v>3.63</v>
      </c>
    </row>
    <row r="60" ht="15.75" customHeight="1">
      <c r="A60" s="3" t="s">
        <v>31</v>
      </c>
      <c r="B60" s="3" t="s">
        <v>32</v>
      </c>
      <c r="C60" s="3">
        <v>1.31</v>
      </c>
      <c r="D60" s="3">
        <v>1.34</v>
      </c>
      <c r="E60" s="3">
        <v>1.27</v>
      </c>
      <c r="F60" s="3">
        <v>1.21</v>
      </c>
      <c r="G60" s="3">
        <v>1.28</v>
      </c>
      <c r="H60" s="3">
        <v>1.22</v>
      </c>
      <c r="I60" s="3">
        <v>1.3</v>
      </c>
      <c r="J60" s="3">
        <v>1.15</v>
      </c>
      <c r="K60" s="3">
        <v>1.04</v>
      </c>
      <c r="L60" s="3" t="s">
        <v>24</v>
      </c>
      <c r="M60" s="3">
        <v>1.23</v>
      </c>
    </row>
    <row r="61" ht="15.75" customHeight="1">
      <c r="A61" s="3" t="s">
        <v>33</v>
      </c>
      <c r="B61" s="3" t="s">
        <v>32</v>
      </c>
      <c r="C61" s="3">
        <v>19.13</v>
      </c>
      <c r="D61" s="3">
        <v>18.63</v>
      </c>
      <c r="E61" s="3">
        <v>16.85</v>
      </c>
      <c r="F61" s="3">
        <v>15.46</v>
      </c>
      <c r="G61" s="3">
        <v>15.51</v>
      </c>
      <c r="H61" s="3">
        <v>15.04</v>
      </c>
      <c r="I61" s="3">
        <v>16.52</v>
      </c>
      <c r="J61" s="3">
        <v>13.83</v>
      </c>
      <c r="K61" s="3">
        <v>11.41</v>
      </c>
      <c r="L61" s="3" t="s">
        <v>24</v>
      </c>
      <c r="M61" s="3">
        <v>10.95</v>
      </c>
    </row>
    <row r="62" ht="15.75" customHeight="1">
      <c r="A62" s="3" t="s">
        <v>34</v>
      </c>
    </row>
    <row r="63" ht="15.75" customHeight="1">
      <c r="A63" s="3" t="s">
        <v>38</v>
      </c>
      <c r="B63" s="3" t="s">
        <v>32</v>
      </c>
      <c r="C63" s="3">
        <v>74.65</v>
      </c>
      <c r="D63" s="3">
        <v>80.19</v>
      </c>
      <c r="E63" s="3">
        <v>79.45</v>
      </c>
      <c r="F63" s="3">
        <v>77.83</v>
      </c>
      <c r="G63" s="3">
        <v>79.69</v>
      </c>
      <c r="H63" s="3">
        <v>74.13</v>
      </c>
      <c r="I63" s="3">
        <v>77.2</v>
      </c>
      <c r="J63" s="3">
        <v>83.08</v>
      </c>
      <c r="K63" s="3">
        <v>83.06</v>
      </c>
      <c r="L63" s="3" t="s">
        <v>24</v>
      </c>
      <c r="M63" s="3">
        <v>87.87</v>
      </c>
    </row>
    <row r="64" ht="15.75" customHeight="1">
      <c r="A64" s="3" t="s">
        <v>35</v>
      </c>
      <c r="B64" s="158" t="s">
        <v>32</v>
      </c>
      <c r="C64" s="158">
        <v>2.24</v>
      </c>
      <c r="D64" s="158">
        <v>3.34</v>
      </c>
      <c r="E64" s="158">
        <v>3.1</v>
      </c>
      <c r="F64" s="158">
        <v>2.78</v>
      </c>
      <c r="G64" s="158">
        <v>3.7</v>
      </c>
      <c r="H64" s="158">
        <v>2.72</v>
      </c>
      <c r="I64" s="158">
        <v>3.35</v>
      </c>
      <c r="J64" s="158">
        <v>2.35</v>
      </c>
      <c r="K64" s="3">
        <v>2.5</v>
      </c>
      <c r="L64" s="158" t="s">
        <v>24</v>
      </c>
      <c r="M64" s="3">
        <v>3.27</v>
      </c>
    </row>
    <row r="65" ht="15.75" customHeight="1">
      <c r="A65" s="3" t="s">
        <v>37</v>
      </c>
      <c r="B65" s="3" t="s">
        <v>32</v>
      </c>
      <c r="C65" s="3">
        <v>161.04</v>
      </c>
      <c r="D65" s="3">
        <v>114.49</v>
      </c>
      <c r="E65" s="3">
        <v>147.61</v>
      </c>
      <c r="F65" s="3">
        <v>168.46</v>
      </c>
      <c r="G65" s="3">
        <v>141.31</v>
      </c>
      <c r="H65" s="3">
        <v>179.51</v>
      </c>
      <c r="I65" s="3">
        <v>120.42</v>
      </c>
      <c r="J65" s="3">
        <v>150.39</v>
      </c>
      <c r="K65" s="3">
        <v>159.52</v>
      </c>
      <c r="L65" s="3" t="s">
        <v>24</v>
      </c>
      <c r="M65" s="3">
        <v>116.85</v>
      </c>
    </row>
    <row r="66" ht="15.75" customHeight="1">
      <c r="A66" s="3" t="s">
        <v>39</v>
      </c>
      <c r="B66" s="101"/>
      <c r="C66" s="101"/>
      <c r="D66" s="101"/>
      <c r="E66" s="101"/>
      <c r="F66" s="101"/>
      <c r="G66" s="101"/>
      <c r="H66" s="101"/>
      <c r="I66" s="101"/>
      <c r="J66" s="101"/>
      <c r="K66" s="3"/>
      <c r="L66" s="101"/>
    </row>
    <row r="67" ht="15.75" customHeight="1">
      <c r="A67" s="3" t="s">
        <v>45</v>
      </c>
      <c r="B67" s="3" t="s">
        <v>32</v>
      </c>
      <c r="C67" s="3">
        <v>14.88</v>
      </c>
      <c r="D67" s="3">
        <v>14.65</v>
      </c>
      <c r="E67" s="3">
        <v>15.07</v>
      </c>
      <c r="F67" s="3">
        <v>14.61</v>
      </c>
      <c r="G67" s="3">
        <v>13.87</v>
      </c>
      <c r="H67" s="3">
        <v>15.03</v>
      </c>
      <c r="I67" s="3">
        <v>14.74</v>
      </c>
      <c r="J67" s="3">
        <v>12.16</v>
      </c>
      <c r="K67" s="3">
        <v>14.09</v>
      </c>
      <c r="L67" s="3" t="s">
        <v>24</v>
      </c>
      <c r="M67" s="3">
        <v>13.92</v>
      </c>
    </row>
    <row r="68" ht="15.75" customHeight="1">
      <c r="A68" s="3" t="s">
        <v>46</v>
      </c>
      <c r="B68" s="3" t="s">
        <v>32</v>
      </c>
      <c r="C68" s="3">
        <v>41.69</v>
      </c>
      <c r="D68" s="3">
        <v>40.95</v>
      </c>
      <c r="E68" s="3">
        <v>44.22</v>
      </c>
      <c r="F68" s="3">
        <v>43.53</v>
      </c>
      <c r="G68" s="3">
        <v>39.1</v>
      </c>
      <c r="H68" s="3">
        <v>45.8</v>
      </c>
      <c r="I68" s="3">
        <v>43.76</v>
      </c>
      <c r="J68" s="3">
        <v>45.63</v>
      </c>
      <c r="K68" s="3">
        <v>45.2</v>
      </c>
      <c r="L68" s="3" t="s">
        <v>24</v>
      </c>
      <c r="M68" s="3">
        <v>48.33</v>
      </c>
    </row>
    <row r="69" ht="15.75" customHeight="1">
      <c r="A69" s="3" t="s">
        <v>48</v>
      </c>
      <c r="B69" s="101"/>
      <c r="C69" s="101"/>
      <c r="D69" s="101"/>
      <c r="E69" s="101"/>
      <c r="F69" s="101"/>
      <c r="G69" s="101"/>
      <c r="H69" s="101"/>
      <c r="I69" s="101"/>
      <c r="J69" s="101"/>
      <c r="K69" s="3"/>
      <c r="L69" s="101"/>
    </row>
    <row r="70" ht="15.75" customHeight="1">
      <c r="A70" s="3" t="s">
        <v>50</v>
      </c>
      <c r="B70" s="3" t="s">
        <v>18</v>
      </c>
      <c r="C70" s="158">
        <v>10685.7</v>
      </c>
      <c r="D70" s="158">
        <v>13718.0</v>
      </c>
      <c r="E70" s="158">
        <v>10954.1</v>
      </c>
      <c r="F70" s="158">
        <v>8587.9</v>
      </c>
      <c r="G70" s="158">
        <v>9967.6</v>
      </c>
      <c r="H70" s="158">
        <v>6227.3</v>
      </c>
      <c r="I70" s="158">
        <v>7773.7</v>
      </c>
      <c r="J70" s="158">
        <v>4918.7</v>
      </c>
      <c r="K70" s="158">
        <v>4600.7</v>
      </c>
      <c r="L70" s="3" t="s">
        <v>24</v>
      </c>
      <c r="M70" s="158">
        <v>4258.4</v>
      </c>
    </row>
    <row r="71" ht="15.75" customHeight="1">
      <c r="A71" s="3" t="s">
        <v>52</v>
      </c>
      <c r="B71" s="3" t="s">
        <v>32</v>
      </c>
      <c r="C71" s="3">
        <v>1.4</v>
      </c>
      <c r="D71" s="3">
        <v>2.23</v>
      </c>
      <c r="E71" s="3">
        <v>2.16</v>
      </c>
      <c r="F71" s="3">
        <v>1.88</v>
      </c>
      <c r="G71" s="3">
        <v>2.56</v>
      </c>
      <c r="H71" s="3">
        <v>1.85</v>
      </c>
      <c r="I71" s="3">
        <v>2.32</v>
      </c>
      <c r="J71" s="3">
        <v>1.74</v>
      </c>
      <c r="K71" s="3">
        <v>1.82</v>
      </c>
      <c r="L71" s="3" t="s">
        <v>24</v>
      </c>
      <c r="M71" s="3">
        <v>2.25</v>
      </c>
    </row>
    <row r="72" ht="15.75" customHeight="1">
      <c r="A72" s="3" t="s">
        <v>44</v>
      </c>
      <c r="B72" s="3" t="s">
        <v>32</v>
      </c>
      <c r="C72" s="3">
        <v>20.1</v>
      </c>
      <c r="D72" s="3">
        <v>22.8</v>
      </c>
      <c r="E72" s="3">
        <v>19.6</v>
      </c>
      <c r="F72" s="3">
        <v>9.7</v>
      </c>
      <c r="G72" s="3">
        <v>13.4</v>
      </c>
      <c r="H72" s="3">
        <v>2.4</v>
      </c>
      <c r="I72" s="3">
        <v>30.1</v>
      </c>
      <c r="J72" s="158">
        <v>28.1</v>
      </c>
      <c r="K72" s="3" t="s">
        <v>24</v>
      </c>
      <c r="L72" s="3" t="s">
        <v>24</v>
      </c>
      <c r="M72" s="3">
        <v>5.4</v>
      </c>
    </row>
    <row r="73" ht="15.75" customHeight="1">
      <c r="A73" s="3" t="s">
        <v>53</v>
      </c>
      <c r="B73" s="3" t="s">
        <v>32</v>
      </c>
      <c r="C73" s="3">
        <v>18.1</v>
      </c>
      <c r="D73" s="3">
        <v>14.9</v>
      </c>
      <c r="E73" s="3">
        <v>7.0</v>
      </c>
      <c r="F73" s="3">
        <v>13.0</v>
      </c>
      <c r="G73" s="3">
        <v>7.0</v>
      </c>
      <c r="H73" s="3">
        <v>13.3</v>
      </c>
      <c r="I73" s="3">
        <v>11.3</v>
      </c>
      <c r="J73" s="3" t="s">
        <v>24</v>
      </c>
      <c r="K73" s="3" t="s">
        <v>24</v>
      </c>
      <c r="L73" s="101">
        <v>0.101</v>
      </c>
    </row>
    <row r="74" ht="15.75" customHeight="1">
      <c r="A74" s="3" t="s">
        <v>44</v>
      </c>
      <c r="B74" s="101">
        <v>0.201</v>
      </c>
      <c r="C74" s="101">
        <v>0.228</v>
      </c>
      <c r="D74" s="101">
        <v>0.196</v>
      </c>
      <c r="E74" s="101">
        <v>0.097</v>
      </c>
      <c r="F74" s="101">
        <v>0.134</v>
      </c>
      <c r="G74" s="101">
        <v>0.024</v>
      </c>
      <c r="H74" s="101">
        <v>0.301</v>
      </c>
      <c r="I74" s="101">
        <v>0.281</v>
      </c>
      <c r="J74" s="3" t="s">
        <v>66</v>
      </c>
      <c r="K74" s="3" t="s">
        <v>24</v>
      </c>
      <c r="L74" s="101">
        <v>0.054</v>
      </c>
    </row>
    <row r="75" ht="15.75" customHeight="1">
      <c r="A75" s="3" t="s">
        <v>53</v>
      </c>
      <c r="B75" s="101">
        <v>0.181</v>
      </c>
      <c r="C75" s="101">
        <v>0.149</v>
      </c>
      <c r="D75" s="101">
        <v>0.07</v>
      </c>
      <c r="E75" s="101">
        <v>0.13</v>
      </c>
      <c r="F75" s="101">
        <v>0.07</v>
      </c>
      <c r="G75" s="101">
        <v>0.133</v>
      </c>
      <c r="H75" s="101">
        <v>0.113</v>
      </c>
      <c r="I75" s="101">
        <v>0.064</v>
      </c>
      <c r="J75" s="3" t="s">
        <v>66</v>
      </c>
      <c r="K75" s="3" t="s">
        <v>24</v>
      </c>
      <c r="L75" s="101">
        <v>0.02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2:F2"/>
    <mergeCell ref="A3:A12"/>
    <mergeCell ref="B3:H3"/>
    <mergeCell ref="B4:G4"/>
    <mergeCell ref="B5:G5"/>
    <mergeCell ref="B6:G6"/>
    <mergeCell ref="B7:G7"/>
    <mergeCell ref="B12:G1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6" width="14.43"/>
  </cols>
  <sheetData>
    <row r="3">
      <c r="A3" s="3"/>
      <c r="B3" s="4" t="s">
        <v>56</v>
      </c>
    </row>
    <row r="4">
      <c r="B4" s="127" t="s">
        <v>4</v>
      </c>
      <c r="C4" s="7"/>
      <c r="D4" s="7"/>
      <c r="E4" s="7"/>
      <c r="F4" s="7"/>
      <c r="G4" s="7"/>
      <c r="H4" s="8"/>
    </row>
    <row r="5">
      <c r="B5" s="9" t="s">
        <v>5</v>
      </c>
      <c r="H5" s="15">
        <f>AVERAGE(C28:M28)</f>
        <v>0.1351272727</v>
      </c>
    </row>
    <row r="6">
      <c r="B6" s="9" t="s">
        <v>6</v>
      </c>
      <c r="H6" s="15">
        <f>STDEV(C28:M28)</f>
        <v>0.02032102807</v>
      </c>
    </row>
    <row r="7">
      <c r="B7" s="9" t="s">
        <v>7</v>
      </c>
      <c r="H7" s="14">
        <f>(H5-0.03)/H6</f>
        <v>5.173324517</v>
      </c>
    </row>
    <row r="8">
      <c r="B8" s="9" t="s">
        <v>8</v>
      </c>
      <c r="H8" s="15">
        <f>AVERAGE(D28:I28)</f>
        <v>0.1411666667</v>
      </c>
    </row>
    <row r="9">
      <c r="B9" s="9" t="s">
        <v>9</v>
      </c>
      <c r="H9" s="15">
        <f>STDEV(D28:I28)</f>
        <v>0.02084866103</v>
      </c>
    </row>
    <row r="10">
      <c r="B10" s="9" t="s">
        <v>10</v>
      </c>
      <c r="H10" s="14">
        <f>(H8-0.03)/H9</f>
        <v>5.332077034</v>
      </c>
    </row>
    <row r="11">
      <c r="B11" s="9" t="s">
        <v>11</v>
      </c>
      <c r="H11" s="15">
        <f>(C20/M20)^(1/10)-1</f>
        <v>0.04021888178</v>
      </c>
    </row>
    <row r="12">
      <c r="B12" s="9" t="s">
        <v>12</v>
      </c>
      <c r="H12" s="16">
        <v>-42.3</v>
      </c>
    </row>
    <row r="13">
      <c r="B13" s="9" t="s">
        <v>13</v>
      </c>
      <c r="H13" s="17">
        <f>SLOPE(C31:M31,C15:M15)*100</f>
        <v>0.4746536797</v>
      </c>
    </row>
    <row r="15">
      <c r="A15" s="142" t="s">
        <v>14</v>
      </c>
      <c r="B15" s="142" t="s">
        <v>15</v>
      </c>
      <c r="C15" s="143">
        <v>2025.0</v>
      </c>
      <c r="D15" s="144">
        <v>2024.0</v>
      </c>
      <c r="E15" s="145">
        <v>2023.0</v>
      </c>
      <c r="F15" s="145">
        <v>2022.0</v>
      </c>
      <c r="G15" s="146">
        <v>2021.0</v>
      </c>
      <c r="H15" s="143">
        <v>2020.0</v>
      </c>
      <c r="I15" s="143">
        <v>2019.0</v>
      </c>
      <c r="J15" s="143">
        <v>2018.0</v>
      </c>
      <c r="K15" s="143">
        <v>2017.0</v>
      </c>
      <c r="L15" s="143">
        <v>2016.0</v>
      </c>
      <c r="M15" s="143">
        <v>2015.0</v>
      </c>
    </row>
    <row r="16">
      <c r="A16" s="147" t="s">
        <v>16</v>
      </c>
      <c r="B16" s="148"/>
      <c r="C16" s="148"/>
      <c r="D16" s="149"/>
      <c r="E16" s="150"/>
      <c r="F16" s="150"/>
      <c r="G16" s="151"/>
      <c r="H16" s="148"/>
      <c r="I16" s="148"/>
      <c r="J16" s="148"/>
      <c r="K16" s="148"/>
      <c r="L16" s="148"/>
      <c r="M16" s="148"/>
    </row>
    <row r="17">
      <c r="A17" s="52" t="s">
        <v>17</v>
      </c>
      <c r="B17" s="52" t="s">
        <v>18</v>
      </c>
      <c r="C17" s="70">
        <v>505192.0</v>
      </c>
      <c r="D17" s="67">
        <v>457204.0</v>
      </c>
      <c r="E17" s="97">
        <v>366606.0</v>
      </c>
      <c r="F17" s="97">
        <v>353644.0</v>
      </c>
      <c r="G17" s="69">
        <v>306501.0</v>
      </c>
      <c r="H17" s="70">
        <v>336936.0</v>
      </c>
      <c r="I17" s="70">
        <v>335163.0</v>
      </c>
      <c r="J17" s="70">
        <v>282451.0</v>
      </c>
      <c r="K17" s="70">
        <v>253068.0</v>
      </c>
      <c r="L17" s="138" t="s">
        <v>59</v>
      </c>
      <c r="M17" s="138">
        <v>189563.0</v>
      </c>
    </row>
    <row r="18">
      <c r="A18" s="52" t="s">
        <v>19</v>
      </c>
      <c r="B18" s="52" t="s">
        <v>18</v>
      </c>
      <c r="C18" s="70">
        <v>319105.0</v>
      </c>
      <c r="D18" s="67">
        <v>300780.0</v>
      </c>
      <c r="E18" s="97">
        <v>261023.0</v>
      </c>
      <c r="F18" s="97">
        <v>253836.0</v>
      </c>
      <c r="G18" s="69">
        <v>226012.0</v>
      </c>
      <c r="H18" s="70">
        <v>228944.0</v>
      </c>
      <c r="I18" s="70">
        <v>232051.0</v>
      </c>
      <c r="J18" s="70">
        <v>209306.0</v>
      </c>
      <c r="K18" s="70">
        <v>184027.0</v>
      </c>
      <c r="L18" s="138" t="s">
        <v>60</v>
      </c>
      <c r="M18" s="138">
        <v>130226.0</v>
      </c>
    </row>
    <row r="19">
      <c r="A19" s="52" t="s">
        <v>20</v>
      </c>
      <c r="B19" s="52" t="s">
        <v>18</v>
      </c>
      <c r="C19" s="70">
        <v>364086.0</v>
      </c>
      <c r="D19" s="67">
        <v>328837.0</v>
      </c>
      <c r="E19" s="97">
        <v>262584.0</v>
      </c>
      <c r="F19" s="97">
        <v>232657.0</v>
      </c>
      <c r="G19" s="69">
        <v>211782.0</v>
      </c>
      <c r="H19" s="70">
        <v>242358.0</v>
      </c>
      <c r="I19" s="70">
        <v>240164.0</v>
      </c>
      <c r="J19" s="70">
        <v>199629.0</v>
      </c>
      <c r="K19" s="70">
        <v>167348.0</v>
      </c>
      <c r="L19" s="138" t="s">
        <v>62</v>
      </c>
      <c r="M19" s="138">
        <v>127990.0</v>
      </c>
    </row>
    <row r="20">
      <c r="A20" s="52" t="s">
        <v>22</v>
      </c>
      <c r="B20" s="52" t="s">
        <v>18</v>
      </c>
      <c r="C20" s="70">
        <v>30403.0</v>
      </c>
      <c r="D20" s="67">
        <v>25505.0</v>
      </c>
      <c r="E20" s="97">
        <v>24106.0</v>
      </c>
      <c r="F20" s="97">
        <v>21331.0</v>
      </c>
      <c r="G20" s="69">
        <v>19655.0</v>
      </c>
      <c r="H20" s="70">
        <v>28976.0</v>
      </c>
      <c r="I20" s="70">
        <v>25567.0</v>
      </c>
      <c r="J20" s="70">
        <v>22966.0</v>
      </c>
      <c r="K20" s="70">
        <v>21586.0</v>
      </c>
      <c r="L20" s="138" t="s">
        <v>24</v>
      </c>
      <c r="M20" s="138">
        <v>20496.0</v>
      </c>
    </row>
    <row r="21" ht="15.75" customHeight="1">
      <c r="A21" s="147" t="s">
        <v>23</v>
      </c>
      <c r="B21" s="148"/>
      <c r="C21" s="148"/>
      <c r="D21" s="149"/>
      <c r="E21" s="150"/>
      <c r="F21" s="150"/>
      <c r="G21" s="151"/>
      <c r="H21" s="148"/>
      <c r="I21" s="148"/>
      <c r="J21" s="148"/>
      <c r="K21" s="148"/>
      <c r="L21" s="148"/>
      <c r="M21" s="148"/>
    </row>
    <row r="22" ht="15.75" customHeight="1">
      <c r="A22" s="52" t="s">
        <v>25</v>
      </c>
      <c r="B22" s="52" t="s">
        <v>18</v>
      </c>
      <c r="C22" s="70">
        <v>2848.0</v>
      </c>
      <c r="D22" s="67">
        <v>8065.0</v>
      </c>
      <c r="E22" s="97">
        <v>7253.0</v>
      </c>
      <c r="F22" s="97">
        <v>3867.0</v>
      </c>
      <c r="G22" s="69">
        <v>5747.0</v>
      </c>
      <c r="H22" s="70">
        <v>5930.0</v>
      </c>
      <c r="I22" s="70">
        <v>8159.0</v>
      </c>
      <c r="J22" s="70">
        <v>7506.0</v>
      </c>
      <c r="K22" s="70">
        <v>5745.0</v>
      </c>
      <c r="L22" s="138" t="s">
        <v>24</v>
      </c>
      <c r="M22" s="138">
        <v>3545.0</v>
      </c>
    </row>
    <row r="23" ht="15.75" customHeight="1">
      <c r="A23" s="52" t="s">
        <v>26</v>
      </c>
      <c r="B23" s="52" t="s">
        <v>18</v>
      </c>
      <c r="C23" s="70">
        <v>19647.0</v>
      </c>
      <c r="D23" s="67">
        <v>14444.0</v>
      </c>
      <c r="E23" s="97">
        <v>10233.0</v>
      </c>
      <c r="F23" s="97">
        <v>12235.0</v>
      </c>
      <c r="G23" s="69">
        <v>7057.0</v>
      </c>
      <c r="H23" s="70">
        <v>8204.0</v>
      </c>
      <c r="I23" s="70">
        <v>6439.0</v>
      </c>
      <c r="J23" s="70">
        <v>5633.0</v>
      </c>
      <c r="K23" s="70">
        <v>6656.0</v>
      </c>
      <c r="L23" s="138" t="s">
        <v>24</v>
      </c>
      <c r="M23" s="138">
        <v>6542.0</v>
      </c>
    </row>
    <row r="24" ht="15.75" customHeight="1">
      <c r="A24" s="52" t="s">
        <v>27</v>
      </c>
      <c r="B24" s="52" t="s">
        <v>18</v>
      </c>
      <c r="C24" s="70">
        <v>3393.0</v>
      </c>
      <c r="D24" s="67">
        <v>3167.0</v>
      </c>
      <c r="E24" s="97">
        <v>2860.0</v>
      </c>
      <c r="F24" s="97">
        <v>2369.0</v>
      </c>
      <c r="G24" s="69">
        <v>2973.0</v>
      </c>
      <c r="H24" s="70">
        <v>4103.0</v>
      </c>
      <c r="I24" s="70">
        <v>4008.0</v>
      </c>
      <c r="J24" s="70">
        <v>3081.0</v>
      </c>
      <c r="K24" s="70">
        <v>2405.0</v>
      </c>
      <c r="L24" s="138">
        <v>1464.0</v>
      </c>
      <c r="M24" s="138">
        <v>2221.0</v>
      </c>
    </row>
    <row r="25" ht="15.75" customHeight="1">
      <c r="A25" s="147" t="s">
        <v>28</v>
      </c>
      <c r="B25" s="148"/>
      <c r="C25" s="148"/>
      <c r="D25" s="149"/>
      <c r="E25" s="150"/>
      <c r="F25" s="150"/>
      <c r="G25" s="151"/>
      <c r="H25" s="148"/>
      <c r="I25" s="148"/>
      <c r="J25" s="148"/>
      <c r="K25" s="148"/>
      <c r="L25" s="148"/>
      <c r="M25" s="148"/>
    </row>
    <row r="26" ht="15.75" customHeight="1">
      <c r="A26" s="52" t="s">
        <v>29</v>
      </c>
      <c r="B26" s="52" t="s">
        <v>30</v>
      </c>
      <c r="C26" s="52">
        <v>3.14</v>
      </c>
      <c r="D26" s="60">
        <v>3.22</v>
      </c>
      <c r="E26" s="63">
        <v>2.91</v>
      </c>
      <c r="F26" s="63">
        <v>2.65</v>
      </c>
      <c r="G26" s="66">
        <v>3.66</v>
      </c>
      <c r="H26" s="52">
        <v>5.05</v>
      </c>
      <c r="I26" s="52">
        <v>4.94</v>
      </c>
      <c r="J26" s="52">
        <v>4.17</v>
      </c>
      <c r="K26" s="52">
        <v>3.26</v>
      </c>
      <c r="L26" s="52">
        <v>3.3</v>
      </c>
      <c r="M26" s="52">
        <v>3.63</v>
      </c>
    </row>
    <row r="27" ht="15.75" customHeight="1">
      <c r="A27" s="52" t="s">
        <v>31</v>
      </c>
      <c r="B27" s="52" t="s">
        <v>32</v>
      </c>
      <c r="C27" s="152">
        <v>0.0071</v>
      </c>
      <c r="D27" s="153">
        <v>0.0077</v>
      </c>
      <c r="E27" s="154">
        <v>0.0079</v>
      </c>
      <c r="F27" s="154">
        <v>0.0072</v>
      </c>
      <c r="G27" s="155">
        <v>0.0103</v>
      </c>
      <c r="H27" s="152">
        <v>0.0122</v>
      </c>
      <c r="I27" s="152">
        <v>0.013</v>
      </c>
      <c r="J27" s="152">
        <v>0.0115</v>
      </c>
      <c r="K27" s="152">
        <v>0.0104</v>
      </c>
      <c r="L27" s="52" t="s">
        <v>24</v>
      </c>
      <c r="M27" s="152">
        <v>0.0123</v>
      </c>
    </row>
    <row r="28" ht="15.75" customHeight="1">
      <c r="A28" s="156" t="s">
        <v>33</v>
      </c>
      <c r="B28" s="52" t="s">
        <v>32</v>
      </c>
      <c r="C28" s="152">
        <v>0.1214</v>
      </c>
      <c r="D28" s="153">
        <v>0.1277</v>
      </c>
      <c r="E28" s="154">
        <v>0.1259</v>
      </c>
      <c r="F28" s="154">
        <v>0.1156</v>
      </c>
      <c r="G28" s="155">
        <v>0.1622</v>
      </c>
      <c r="H28" s="152">
        <v>0.1504</v>
      </c>
      <c r="I28" s="152">
        <v>0.1652</v>
      </c>
      <c r="J28" s="152">
        <v>0.1383</v>
      </c>
      <c r="K28" s="152">
        <v>0.1141</v>
      </c>
      <c r="L28" s="152">
        <v>0.1561</v>
      </c>
      <c r="M28" s="152">
        <v>0.1095</v>
      </c>
    </row>
    <row r="29" ht="15.75" customHeight="1">
      <c r="A29" s="147" t="s">
        <v>34</v>
      </c>
      <c r="B29" s="148"/>
      <c r="C29" s="148"/>
      <c r="D29" s="149"/>
      <c r="E29" s="150"/>
      <c r="F29" s="150"/>
      <c r="G29" s="151"/>
      <c r="H29" s="148"/>
      <c r="I29" s="148"/>
      <c r="J29" s="148"/>
      <c r="K29" s="148"/>
      <c r="L29" s="148"/>
      <c r="M29" s="148"/>
    </row>
    <row r="30" ht="15.75" customHeight="1">
      <c r="A30" s="52" t="s">
        <v>38</v>
      </c>
      <c r="B30" s="52" t="s">
        <v>32</v>
      </c>
      <c r="C30" s="152">
        <v>0.7505</v>
      </c>
      <c r="D30" s="153">
        <v>0.7676</v>
      </c>
      <c r="E30" s="154">
        <v>0.8419</v>
      </c>
      <c r="F30" s="154">
        <v>0.8397</v>
      </c>
      <c r="G30" s="155">
        <v>0.8242</v>
      </c>
      <c r="H30" s="152">
        <v>0.7413</v>
      </c>
      <c r="I30" s="152">
        <v>0.772</v>
      </c>
      <c r="J30" s="152">
        <v>0.8308</v>
      </c>
      <c r="K30" s="152">
        <v>0.8306</v>
      </c>
      <c r="L30" s="52" t="s">
        <v>24</v>
      </c>
      <c r="M30" s="152">
        <v>0.8787</v>
      </c>
    </row>
    <row r="31" ht="15.75" customHeight="1">
      <c r="A31" s="52" t="s">
        <v>35</v>
      </c>
      <c r="B31" s="52" t="s">
        <v>32</v>
      </c>
      <c r="C31" s="152">
        <v>0.0577</v>
      </c>
      <c r="D31" s="153">
        <v>0.0695</v>
      </c>
      <c r="E31" s="154">
        <v>0.066</v>
      </c>
      <c r="F31" s="154">
        <v>0.0577</v>
      </c>
      <c r="G31" s="155">
        <v>0.058</v>
      </c>
      <c r="H31" s="152">
        <v>0.0272</v>
      </c>
      <c r="I31" s="152">
        <v>0.0335</v>
      </c>
      <c r="J31" s="152">
        <v>0.0235</v>
      </c>
      <c r="K31" s="152">
        <v>0.025</v>
      </c>
      <c r="L31" s="52" t="s">
        <v>24</v>
      </c>
      <c r="M31" s="152">
        <v>0.0327</v>
      </c>
    </row>
    <row r="32" ht="15.75" customHeight="1">
      <c r="A32" s="52" t="s">
        <v>37</v>
      </c>
      <c r="B32" s="52" t="s">
        <v>32</v>
      </c>
      <c r="C32" s="152">
        <v>1.1107</v>
      </c>
      <c r="D32" s="153">
        <v>0.9666</v>
      </c>
      <c r="E32" s="154">
        <v>0.917</v>
      </c>
      <c r="F32" s="154">
        <v>0.857</v>
      </c>
      <c r="G32" s="155">
        <v>0.7111</v>
      </c>
      <c r="H32" s="152">
        <v>1.7951</v>
      </c>
      <c r="I32" s="152">
        <v>1.2042</v>
      </c>
      <c r="J32" s="152">
        <v>1.5039</v>
      </c>
      <c r="K32" s="152">
        <v>1.5952</v>
      </c>
      <c r="L32" s="52" t="s">
        <v>24</v>
      </c>
      <c r="M32" s="152">
        <v>1.1685</v>
      </c>
    </row>
    <row r="33" ht="15.75" customHeight="1">
      <c r="A33" s="147" t="s">
        <v>39</v>
      </c>
      <c r="B33" s="148"/>
      <c r="C33" s="148"/>
      <c r="D33" s="149"/>
      <c r="E33" s="150"/>
      <c r="F33" s="150"/>
      <c r="G33" s="151"/>
      <c r="H33" s="148"/>
      <c r="I33" s="148"/>
      <c r="J33" s="148"/>
      <c r="K33" s="148"/>
      <c r="L33" s="148"/>
      <c r="M33" s="148"/>
    </row>
    <row r="34" ht="15.75" customHeight="1">
      <c r="A34" s="52" t="s">
        <v>45</v>
      </c>
      <c r="B34" s="52" t="s">
        <v>32</v>
      </c>
      <c r="C34" s="152">
        <v>0.1355</v>
      </c>
      <c r="D34" s="153">
        <v>0.1362</v>
      </c>
      <c r="E34" s="154">
        <v>0.1498</v>
      </c>
      <c r="F34" s="154">
        <v>0.145</v>
      </c>
      <c r="G34" s="155">
        <v>0.1441</v>
      </c>
      <c r="H34" s="152">
        <v>0.1503</v>
      </c>
      <c r="I34" s="152">
        <v>0.1474</v>
      </c>
      <c r="J34" s="152">
        <v>0.1216</v>
      </c>
      <c r="K34" s="152">
        <v>0.1409</v>
      </c>
      <c r="L34" s="52" t="s">
        <v>64</v>
      </c>
      <c r="M34" s="152">
        <v>0.1392</v>
      </c>
    </row>
    <row r="35" ht="15.75" customHeight="1">
      <c r="A35" s="52" t="s">
        <v>46</v>
      </c>
      <c r="B35" s="52" t="s">
        <v>32</v>
      </c>
      <c r="C35" s="152">
        <v>0.5379</v>
      </c>
      <c r="D35" s="153">
        <v>0.4759</v>
      </c>
      <c r="E35" s="154">
        <v>0.5305</v>
      </c>
      <c r="F35" s="154">
        <v>0.5154</v>
      </c>
      <c r="G35" s="155">
        <v>0.5579</v>
      </c>
      <c r="H35" s="152">
        <v>0.458</v>
      </c>
      <c r="I35" s="152">
        <v>0.4376</v>
      </c>
      <c r="J35" s="152">
        <v>0.4563</v>
      </c>
      <c r="K35" s="152">
        <v>0.452</v>
      </c>
      <c r="L35" s="52" t="s">
        <v>24</v>
      </c>
      <c r="M35" s="152">
        <v>0.4833</v>
      </c>
    </row>
    <row r="36" ht="15.75" customHeight="1">
      <c r="A36" s="147" t="s">
        <v>48</v>
      </c>
      <c r="B36" s="148"/>
      <c r="C36" s="148"/>
      <c r="D36" s="149"/>
      <c r="E36" s="150"/>
      <c r="F36" s="150"/>
      <c r="G36" s="151"/>
      <c r="H36" s="148"/>
      <c r="I36" s="148"/>
      <c r="J36" s="148"/>
      <c r="K36" s="148"/>
      <c r="L36" s="148"/>
      <c r="M36" s="148"/>
    </row>
    <row r="37" ht="15.75" customHeight="1">
      <c r="A37" s="52" t="s">
        <v>63</v>
      </c>
      <c r="B37" s="52" t="s">
        <v>18</v>
      </c>
      <c r="C37" s="138">
        <v>18412.76</v>
      </c>
      <c r="D37" s="139">
        <v>20904.21</v>
      </c>
      <c r="E37" s="140">
        <v>17227.52</v>
      </c>
      <c r="F37" s="140">
        <v>14646.3</v>
      </c>
      <c r="G37" s="141">
        <v>13108.7</v>
      </c>
      <c r="H37" s="138">
        <v>6227.3</v>
      </c>
      <c r="I37" s="138">
        <v>7773.7</v>
      </c>
      <c r="J37" s="138">
        <v>4918.7</v>
      </c>
      <c r="K37" s="138">
        <v>4600.7</v>
      </c>
      <c r="L37" s="138" t="s">
        <v>24</v>
      </c>
      <c r="M37" s="138">
        <v>4258.4</v>
      </c>
    </row>
    <row r="38" ht="15.75" customHeight="1">
      <c r="A38" s="52" t="s">
        <v>43</v>
      </c>
      <c r="B38" s="52" t="s">
        <v>32</v>
      </c>
      <c r="C38" s="152">
        <v>0.0364</v>
      </c>
      <c r="D38" s="153">
        <v>0.0457</v>
      </c>
      <c r="E38" s="154">
        <v>0.047</v>
      </c>
      <c r="F38" s="154">
        <v>0.0414</v>
      </c>
      <c r="G38" s="155">
        <v>0.0428</v>
      </c>
      <c r="H38" s="152">
        <v>0.0185</v>
      </c>
      <c r="I38" s="152">
        <v>0.0232</v>
      </c>
      <c r="J38" s="152">
        <v>0.0174</v>
      </c>
      <c r="K38" s="152">
        <v>0.0182</v>
      </c>
      <c r="L38" s="52" t="s">
        <v>24</v>
      </c>
      <c r="M38" s="152">
        <v>0.0225</v>
      </c>
    </row>
    <row r="39" ht="15.75" customHeight="1">
      <c r="A39" s="52" t="s">
        <v>44</v>
      </c>
      <c r="B39" s="52" t="s">
        <v>32</v>
      </c>
      <c r="C39" s="152">
        <v>0.0714</v>
      </c>
      <c r="D39" s="153">
        <v>0.1073</v>
      </c>
      <c r="E39" s="154">
        <v>0.2073</v>
      </c>
      <c r="F39" s="154">
        <v>-0.2032</v>
      </c>
      <c r="G39" s="66" t="s">
        <v>65</v>
      </c>
      <c r="H39" s="152">
        <v>0.024</v>
      </c>
      <c r="I39" s="152">
        <v>0.301</v>
      </c>
      <c r="J39" s="152">
        <v>0.281</v>
      </c>
      <c r="K39" s="52" t="s">
        <v>24</v>
      </c>
      <c r="L39" s="152">
        <v>0.0713</v>
      </c>
      <c r="M39" s="152">
        <v>0.054</v>
      </c>
    </row>
    <row r="40" ht="15.75" customHeight="1">
      <c r="A40" s="52" t="s">
        <v>53</v>
      </c>
      <c r="B40" s="52" t="s">
        <v>32</v>
      </c>
      <c r="C40" s="152">
        <v>0.192</v>
      </c>
      <c r="D40" s="153">
        <v>0.058</v>
      </c>
      <c r="E40" s="154">
        <v>0.1301</v>
      </c>
      <c r="F40" s="154">
        <v>0.0853</v>
      </c>
      <c r="G40" s="66" t="s">
        <v>65</v>
      </c>
      <c r="H40" s="152">
        <v>0.133</v>
      </c>
      <c r="I40" s="152">
        <v>0.113</v>
      </c>
      <c r="J40" s="52" t="s">
        <v>24</v>
      </c>
      <c r="K40" s="52" t="s">
        <v>24</v>
      </c>
      <c r="L40" s="52" t="s">
        <v>24</v>
      </c>
      <c r="M40" s="52" t="s">
        <v>24</v>
      </c>
    </row>
    <row r="41" ht="15.75" customHeight="1"/>
    <row r="42" ht="15.75" customHeight="1"/>
    <row r="43" ht="15.75" customHeight="1"/>
    <row r="44" ht="15.75" customHeight="1"/>
    <row r="45" ht="15.75" customHeight="1">
      <c r="B45" s="157"/>
      <c r="C45" s="157"/>
      <c r="D45" s="157"/>
      <c r="E45" s="157"/>
      <c r="F45" s="157"/>
      <c r="G45" s="157"/>
    </row>
    <row r="46" ht="15.75" customHeight="1"/>
    <row r="47" ht="15.75" customHeight="1"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M47" s="159"/>
    </row>
    <row r="48" ht="15.75" customHeight="1"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M48" s="159"/>
    </row>
    <row r="49" ht="15.75" customHeight="1"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M49" s="159"/>
    </row>
    <row r="50" ht="15.75" customHeight="1"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M50" s="159"/>
    </row>
    <row r="51" ht="15.75" customHeight="1"/>
    <row r="52" ht="15.75" customHeight="1"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M52" s="159"/>
    </row>
    <row r="53" ht="15.75" customHeight="1"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M53" s="159"/>
    </row>
    <row r="54" ht="15.75" customHeight="1"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</row>
    <row r="55" ht="15.75" customHeight="1"/>
    <row r="56" ht="15.75" customHeight="1"/>
    <row r="57" ht="15.75" customHeight="1">
      <c r="C57" s="101"/>
      <c r="D57" s="101"/>
      <c r="E57" s="101"/>
      <c r="F57" s="101"/>
      <c r="G57" s="101"/>
      <c r="H57" s="101"/>
      <c r="I57" s="101"/>
      <c r="J57" s="101"/>
      <c r="K57" s="101"/>
      <c r="M57" s="101"/>
    </row>
    <row r="58" ht="15.75" customHeight="1"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</row>
    <row r="59" ht="15.75" customHeight="1"/>
    <row r="60" ht="15.75" customHeight="1">
      <c r="C60" s="101"/>
      <c r="D60" s="101"/>
      <c r="E60" s="101"/>
      <c r="F60" s="101"/>
      <c r="G60" s="101"/>
      <c r="H60" s="101"/>
      <c r="I60" s="101"/>
      <c r="J60" s="101"/>
      <c r="K60" s="101"/>
      <c r="M60" s="101"/>
    </row>
    <row r="61" ht="15.75" customHeight="1">
      <c r="C61" s="101"/>
      <c r="D61" s="101"/>
      <c r="E61" s="101"/>
      <c r="F61" s="101"/>
      <c r="G61" s="101"/>
      <c r="H61" s="101"/>
      <c r="I61" s="101"/>
      <c r="J61" s="101"/>
      <c r="K61" s="101"/>
      <c r="M61" s="101"/>
    </row>
    <row r="62" ht="15.75" customHeight="1">
      <c r="C62" s="101"/>
      <c r="D62" s="101"/>
      <c r="E62" s="101"/>
      <c r="F62" s="101"/>
      <c r="G62" s="101"/>
      <c r="H62" s="101"/>
      <c r="I62" s="101"/>
      <c r="J62" s="101"/>
      <c r="K62" s="101"/>
      <c r="M62" s="101"/>
    </row>
    <row r="63" ht="15.75" customHeight="1"/>
    <row r="64" ht="15.75" customHeight="1">
      <c r="C64" s="101"/>
      <c r="D64" s="101"/>
      <c r="E64" s="101"/>
      <c r="F64" s="101"/>
      <c r="G64" s="101"/>
      <c r="H64" s="101"/>
      <c r="I64" s="101"/>
      <c r="J64" s="101"/>
      <c r="K64" s="101"/>
      <c r="M64" s="101"/>
    </row>
    <row r="65" ht="15.75" customHeight="1">
      <c r="C65" s="101"/>
      <c r="D65" s="101"/>
      <c r="E65" s="101"/>
      <c r="F65" s="101"/>
      <c r="G65" s="101"/>
      <c r="H65" s="101"/>
      <c r="I65" s="101"/>
      <c r="J65" s="101"/>
      <c r="K65" s="101"/>
      <c r="M65" s="101"/>
    </row>
    <row r="66" ht="15.75" customHeight="1"/>
    <row r="67" ht="15.75" customHeight="1"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M67" s="158"/>
    </row>
    <row r="68" ht="15.75" customHeight="1">
      <c r="C68" s="101"/>
      <c r="D68" s="101"/>
      <c r="E68" s="101"/>
      <c r="F68" s="101"/>
      <c r="G68" s="101"/>
      <c r="H68" s="101"/>
      <c r="I68" s="101"/>
      <c r="J68" s="101"/>
      <c r="K68" s="101"/>
      <c r="M68" s="101"/>
    </row>
    <row r="69" ht="15.75" customHeight="1">
      <c r="C69" s="101"/>
      <c r="D69" s="101"/>
      <c r="E69" s="101"/>
      <c r="F69" s="101"/>
      <c r="H69" s="101"/>
      <c r="I69" s="101"/>
      <c r="J69" s="101"/>
      <c r="L69" s="101"/>
      <c r="M69" s="101"/>
    </row>
    <row r="70" ht="15.75" customHeight="1">
      <c r="C70" s="101"/>
      <c r="D70" s="101"/>
      <c r="E70" s="101"/>
      <c r="F70" s="101"/>
      <c r="H70" s="101"/>
      <c r="I70" s="10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G9"/>
    <mergeCell ref="B10:G10"/>
    <mergeCell ref="B11:G11"/>
    <mergeCell ref="B12:G12"/>
    <mergeCell ref="A3:A13"/>
    <mergeCell ref="B3:E3"/>
    <mergeCell ref="B4:H4"/>
    <mergeCell ref="B5:G5"/>
    <mergeCell ref="B6:G6"/>
    <mergeCell ref="B7:G7"/>
    <mergeCell ref="B8:G8"/>
    <mergeCell ref="B13:G1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6" width="14.43"/>
  </cols>
  <sheetData>
    <row r="2">
      <c r="B2" s="4" t="s">
        <v>67</v>
      </c>
    </row>
    <row r="3">
      <c r="A3" s="160"/>
      <c r="B3" s="161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4">
        <f>AVERAGE(C27:M27)</f>
        <v>11.27818182</v>
      </c>
    </row>
    <row r="5">
      <c r="B5" s="9" t="s">
        <v>6</v>
      </c>
      <c r="H5" s="14">
        <f>STDEV(C27:M27)</f>
        <v>5.569531072</v>
      </c>
    </row>
    <row r="6">
      <c r="B6" s="9" t="s">
        <v>7</v>
      </c>
      <c r="H6" s="14">
        <f>(H4-3)/H5</f>
        <v>1.486333717</v>
      </c>
    </row>
    <row r="7">
      <c r="B7" s="9" t="s">
        <v>8</v>
      </c>
      <c r="H7" s="14">
        <f>AVERAGE(D27:I27)</f>
        <v>12.155</v>
      </c>
    </row>
    <row r="8">
      <c r="B8" s="9" t="s">
        <v>9</v>
      </c>
      <c r="H8" s="14">
        <f>STDEV(D27:I27)</f>
        <v>5.488390474</v>
      </c>
    </row>
    <row r="9">
      <c r="B9" s="9" t="s">
        <v>10</v>
      </c>
      <c r="H9" s="14">
        <f>(H7-3)/H8</f>
        <v>1.668066447</v>
      </c>
    </row>
    <row r="10">
      <c r="B10" s="9" t="s">
        <v>11</v>
      </c>
      <c r="H10" s="15">
        <f>(C19/M19)^(1/10)-1</f>
        <v>0.05794020094</v>
      </c>
    </row>
    <row r="11">
      <c r="B11" s="9" t="s">
        <v>12</v>
      </c>
      <c r="H11" s="16">
        <v>-43.0</v>
      </c>
    </row>
    <row r="12">
      <c r="B12" s="9" t="s">
        <v>13</v>
      </c>
      <c r="H12" s="17">
        <f>SLOPE(C30:M30,C14:M14)</f>
        <v>-0.395</v>
      </c>
    </row>
    <row r="14">
      <c r="A14" s="164" t="s">
        <v>14</v>
      </c>
      <c r="B14" s="164" t="s">
        <v>15</v>
      </c>
      <c r="C14" s="168">
        <v>2025.0</v>
      </c>
      <c r="D14" s="170">
        <v>2024.0</v>
      </c>
      <c r="E14" s="172">
        <v>2023.0</v>
      </c>
      <c r="F14" s="172">
        <v>2022.0</v>
      </c>
      <c r="G14" s="173">
        <v>2021.0</v>
      </c>
      <c r="H14" s="168">
        <v>2020.0</v>
      </c>
      <c r="I14" s="168">
        <v>2019.0</v>
      </c>
      <c r="J14" s="168">
        <v>2018.0</v>
      </c>
      <c r="K14" s="168">
        <v>2017.0</v>
      </c>
      <c r="L14" s="168">
        <v>2016.0</v>
      </c>
      <c r="M14" s="168">
        <v>2015.0</v>
      </c>
    </row>
    <row r="15">
      <c r="A15" s="177" t="s">
        <v>16</v>
      </c>
      <c r="B15" s="179"/>
      <c r="C15" s="179"/>
      <c r="D15" s="181"/>
      <c r="E15" s="182"/>
      <c r="F15" s="182"/>
      <c r="G15" s="183"/>
      <c r="H15" s="179"/>
      <c r="I15" s="179"/>
      <c r="J15" s="179"/>
      <c r="K15" s="179"/>
      <c r="L15" s="184"/>
      <c r="M15" s="179"/>
    </row>
    <row r="16">
      <c r="A16" s="52" t="s">
        <v>17</v>
      </c>
      <c r="B16" s="52" t="s">
        <v>18</v>
      </c>
      <c r="C16" s="70">
        <v>648977.0</v>
      </c>
      <c r="D16" s="67">
        <v>548118.0</v>
      </c>
      <c r="E16" s="97">
        <v>471285.0</v>
      </c>
      <c r="F16" s="97">
        <v>431604.0</v>
      </c>
      <c r="G16" s="69">
        <v>388100.0</v>
      </c>
      <c r="H16" s="70">
        <v>345724.0</v>
      </c>
      <c r="I16" s="70">
        <v>323788.0</v>
      </c>
      <c r="J16" s="70">
        <v>295613.0</v>
      </c>
      <c r="K16" s="70">
        <v>281467.0</v>
      </c>
      <c r="L16" s="70">
        <v>256599.0</v>
      </c>
      <c r="M16" s="70">
        <v>252161.0</v>
      </c>
    </row>
    <row r="17">
      <c r="A17" s="52" t="s">
        <v>19</v>
      </c>
      <c r="B17" s="52" t="s">
        <v>18</v>
      </c>
      <c r="C17" s="70">
        <v>353255.0</v>
      </c>
      <c r="D17" s="67">
        <v>343458.0</v>
      </c>
      <c r="E17" s="97">
        <v>315293.0</v>
      </c>
      <c r="F17" s="97">
        <v>296481.0</v>
      </c>
      <c r="G17" s="69">
        <v>263015.0</v>
      </c>
      <c r="H17" s="70">
        <v>232400.0</v>
      </c>
      <c r="I17" s="70">
        <v>213955.0</v>
      </c>
      <c r="J17" s="70">
        <v>205810.0</v>
      </c>
      <c r="K17" s="70">
        <v>198323.0</v>
      </c>
      <c r="L17" s="70">
        <v>170212.0</v>
      </c>
      <c r="M17" s="70">
        <v>151865.0</v>
      </c>
      <c r="N17" s="185"/>
    </row>
    <row r="18">
      <c r="A18" s="52" t="s">
        <v>20</v>
      </c>
      <c r="B18" s="52" t="s">
        <v>18</v>
      </c>
      <c r="C18" s="70">
        <v>444943.0</v>
      </c>
      <c r="D18" s="67">
        <v>358868.0</v>
      </c>
      <c r="E18" s="97">
        <v>305269.0</v>
      </c>
      <c r="F18" s="97">
        <v>265841.0</v>
      </c>
      <c r="G18" s="69">
        <v>243070.0</v>
      </c>
      <c r="H18" s="70">
        <v>233028.0</v>
      </c>
      <c r="I18" s="70">
        <v>216444.0</v>
      </c>
      <c r="J18" s="70">
        <v>197518.0</v>
      </c>
      <c r="K18" s="70">
        <v>199014.0</v>
      </c>
      <c r="L18" s="70">
        <v>197934.0</v>
      </c>
      <c r="M18" s="70">
        <v>194825.0</v>
      </c>
    </row>
    <row r="19">
      <c r="A19" s="52" t="s">
        <v>22</v>
      </c>
      <c r="B19" s="52" t="s">
        <v>18</v>
      </c>
      <c r="C19" s="70">
        <v>46394.0</v>
      </c>
      <c r="D19" s="67">
        <v>39020.0</v>
      </c>
      <c r="E19" s="97">
        <v>33614.0</v>
      </c>
      <c r="F19" s="97">
        <v>30863.0</v>
      </c>
      <c r="G19" s="69">
        <v>28377.0</v>
      </c>
      <c r="H19" s="70">
        <v>27254.0</v>
      </c>
      <c r="I19" s="70">
        <v>28150.0</v>
      </c>
      <c r="J19" s="70">
        <v>27894.0</v>
      </c>
      <c r="K19" s="70">
        <v>24901.0</v>
      </c>
      <c r="L19" s="70">
        <v>25285.0</v>
      </c>
      <c r="M19" s="70">
        <v>26415.0</v>
      </c>
    </row>
    <row r="20">
      <c r="A20" s="177" t="s">
        <v>23</v>
      </c>
      <c r="B20" s="179"/>
      <c r="C20" s="179"/>
      <c r="D20" s="181"/>
      <c r="E20" s="182"/>
      <c r="F20" s="182"/>
      <c r="G20" s="183"/>
      <c r="H20" s="179"/>
      <c r="I20" s="179"/>
      <c r="J20" s="179"/>
      <c r="K20" s="179"/>
      <c r="L20" s="184"/>
      <c r="M20" s="179"/>
    </row>
    <row r="21" ht="15.75" customHeight="1">
      <c r="A21" s="52" t="s">
        <v>25</v>
      </c>
      <c r="B21" s="52" t="s">
        <v>18</v>
      </c>
      <c r="C21" s="70">
        <v>3766.0</v>
      </c>
      <c r="D21" s="67">
        <v>9222.0</v>
      </c>
      <c r="E21" s="97">
        <v>9284.0</v>
      </c>
      <c r="F21" s="97">
        <v>8363.0</v>
      </c>
      <c r="G21" s="69">
        <v>8063.0</v>
      </c>
      <c r="H21" s="70">
        <v>5574.0</v>
      </c>
      <c r="I21" s="70">
        <v>8273.0</v>
      </c>
      <c r="J21" s="70">
        <v>7650.0</v>
      </c>
      <c r="K21" s="70">
        <v>4894.0</v>
      </c>
      <c r="L21" s="70">
        <v>3313.0</v>
      </c>
      <c r="M21" s="70">
        <v>1294.0</v>
      </c>
    </row>
    <row r="22" ht="15.75" customHeight="1">
      <c r="A22" s="52" t="s">
        <v>26</v>
      </c>
      <c r="B22" s="52" t="s">
        <v>18</v>
      </c>
      <c r="C22" s="70">
        <v>21770.0</v>
      </c>
      <c r="D22" s="67">
        <v>14616.0</v>
      </c>
      <c r="E22" s="97">
        <v>8483.0</v>
      </c>
      <c r="F22" s="97">
        <v>8139.0</v>
      </c>
      <c r="G22" s="69">
        <v>6986.0</v>
      </c>
      <c r="H22" s="70">
        <v>7080.0</v>
      </c>
      <c r="I22" s="70">
        <v>5858.0</v>
      </c>
      <c r="J22" s="70">
        <v>5250.0</v>
      </c>
      <c r="K22" s="70">
        <v>7255.0</v>
      </c>
      <c r="L22" s="70">
        <v>8710.0</v>
      </c>
      <c r="M22" s="70">
        <v>10779.0</v>
      </c>
    </row>
    <row r="23" ht="15.75" customHeight="1">
      <c r="A23" s="52" t="s">
        <v>27</v>
      </c>
      <c r="B23" s="52" t="s">
        <v>18</v>
      </c>
      <c r="C23" s="70">
        <v>8904.0</v>
      </c>
      <c r="D23" s="67">
        <v>7446.0</v>
      </c>
      <c r="E23" s="97">
        <v>4838.0</v>
      </c>
      <c r="F23" s="97">
        <v>4022.0</v>
      </c>
      <c r="G23" s="69">
        <v>3111.0</v>
      </c>
      <c r="H23" s="70">
        <v>1797.0</v>
      </c>
      <c r="I23" s="70">
        <v>1662.0</v>
      </c>
      <c r="J23" s="70">
        <v>2193.0</v>
      </c>
      <c r="K23" s="70">
        <v>1252.0</v>
      </c>
      <c r="L23" s="70">
        <v>2195.0</v>
      </c>
      <c r="M23" s="70">
        <v>2139.0</v>
      </c>
    </row>
    <row r="24" ht="15.75" customHeight="1">
      <c r="A24" s="177" t="s">
        <v>28</v>
      </c>
      <c r="B24" s="179"/>
      <c r="C24" s="179"/>
      <c r="D24" s="181"/>
      <c r="E24" s="182"/>
      <c r="F24" s="182"/>
      <c r="G24" s="183"/>
      <c r="H24" s="179"/>
      <c r="I24" s="179"/>
      <c r="J24" s="179"/>
      <c r="K24" s="179"/>
      <c r="L24" s="179"/>
      <c r="M24" s="179"/>
    </row>
    <row r="25" ht="15.75" customHeight="1">
      <c r="A25" s="52" t="s">
        <v>29</v>
      </c>
      <c r="B25" s="52" t="s">
        <v>30</v>
      </c>
      <c r="C25" s="52">
        <v>7.67</v>
      </c>
      <c r="D25" s="60">
        <v>6.42</v>
      </c>
      <c r="E25" s="63">
        <v>4.27</v>
      </c>
      <c r="F25" s="63">
        <v>3.55</v>
      </c>
      <c r="G25" s="66">
        <v>2.75</v>
      </c>
      <c r="H25" s="52">
        <v>1.59</v>
      </c>
      <c r="I25" s="52">
        <v>1.47</v>
      </c>
      <c r="J25" s="52">
        <v>1.94</v>
      </c>
      <c r="K25" s="52">
        <v>1.11</v>
      </c>
      <c r="L25" s="52">
        <v>2.13</v>
      </c>
      <c r="M25" s="52">
        <v>2.08</v>
      </c>
    </row>
    <row r="26" ht="15.75" customHeight="1">
      <c r="A26" s="52" t="s">
        <v>31</v>
      </c>
      <c r="B26" s="52" t="s">
        <v>32</v>
      </c>
      <c r="C26" s="52">
        <v>1.49</v>
      </c>
      <c r="D26" s="60">
        <v>1.46</v>
      </c>
      <c r="E26" s="63">
        <v>1.07</v>
      </c>
      <c r="F26" s="63">
        <v>0.98</v>
      </c>
      <c r="G26" s="66">
        <v>0.85</v>
      </c>
      <c r="H26" s="52">
        <v>0.54</v>
      </c>
      <c r="I26" s="52">
        <v>0.54</v>
      </c>
      <c r="J26" s="52">
        <v>0.76</v>
      </c>
      <c r="K26" s="52">
        <v>0.45</v>
      </c>
      <c r="L26" s="52">
        <v>0.86</v>
      </c>
      <c r="M26" s="52">
        <v>0.84</v>
      </c>
    </row>
    <row r="27" ht="15.75" customHeight="1">
      <c r="A27" s="52" t="s">
        <v>33</v>
      </c>
      <c r="B27" s="52" t="s">
        <v>32</v>
      </c>
      <c r="C27" s="52">
        <v>20.85</v>
      </c>
      <c r="D27" s="60">
        <v>20.56</v>
      </c>
      <c r="E27" s="63">
        <v>15.01</v>
      </c>
      <c r="F27" s="63">
        <v>13.58</v>
      </c>
      <c r="G27" s="66">
        <v>11.18</v>
      </c>
      <c r="H27" s="52">
        <v>6.67</v>
      </c>
      <c r="I27" s="52">
        <v>5.93</v>
      </c>
      <c r="J27" s="52">
        <v>8.31</v>
      </c>
      <c r="K27" s="52">
        <v>5.07</v>
      </c>
      <c r="L27" s="52">
        <v>8.49</v>
      </c>
      <c r="M27" s="52">
        <v>8.41</v>
      </c>
    </row>
    <row r="28" ht="15.75" customHeight="1">
      <c r="A28" s="177" t="s">
        <v>34</v>
      </c>
      <c r="B28" s="179"/>
      <c r="C28" s="179"/>
      <c r="D28" s="181"/>
      <c r="E28" s="182"/>
      <c r="F28" s="182"/>
      <c r="G28" s="183"/>
      <c r="H28" s="179"/>
      <c r="I28" s="179"/>
      <c r="J28" s="179"/>
      <c r="K28" s="179"/>
      <c r="L28" s="179"/>
      <c r="M28" s="179"/>
    </row>
    <row r="29" ht="15.75" customHeight="1">
      <c r="A29" s="52" t="s">
        <v>38</v>
      </c>
      <c r="B29" s="52" t="s">
        <v>32</v>
      </c>
      <c r="C29" s="52">
        <v>68.28</v>
      </c>
      <c r="D29" s="60">
        <v>78.1</v>
      </c>
      <c r="E29" s="63">
        <v>79.35</v>
      </c>
      <c r="F29" s="63">
        <v>85.3</v>
      </c>
      <c r="G29" s="66">
        <v>83.99</v>
      </c>
      <c r="H29" s="52">
        <v>79.5</v>
      </c>
      <c r="I29" s="52">
        <v>80.11</v>
      </c>
      <c r="J29" s="52">
        <v>82.65</v>
      </c>
      <c r="K29" s="52">
        <v>84.43</v>
      </c>
      <c r="L29" s="52">
        <v>85.99</v>
      </c>
      <c r="M29" s="52">
        <v>77.95</v>
      </c>
    </row>
    <row r="30" ht="15.75" customHeight="1">
      <c r="A30" s="52" t="s">
        <v>35</v>
      </c>
      <c r="B30" s="52" t="s">
        <v>32</v>
      </c>
      <c r="C30" s="52">
        <v>2.73</v>
      </c>
      <c r="D30" s="60">
        <v>4.22</v>
      </c>
      <c r="E30" s="63">
        <v>3.54</v>
      </c>
      <c r="F30" s="63">
        <v>3.42</v>
      </c>
      <c r="G30" s="66">
        <v>4.83</v>
      </c>
      <c r="H30" s="52">
        <v>3.46</v>
      </c>
      <c r="I30" s="52">
        <v>4.66</v>
      </c>
      <c r="J30" s="52">
        <v>6.16</v>
      </c>
      <c r="K30" s="52">
        <v>5.45</v>
      </c>
      <c r="L30" s="52">
        <v>5.96</v>
      </c>
      <c r="M30" s="52">
        <v>7.82</v>
      </c>
    </row>
    <row r="31" ht="15.75" customHeight="1">
      <c r="A31" s="52" t="s">
        <v>37</v>
      </c>
      <c r="B31" s="52" t="s">
        <v>32</v>
      </c>
      <c r="C31" s="52">
        <v>151.0</v>
      </c>
      <c r="D31" s="60">
        <v>119.0</v>
      </c>
      <c r="E31" s="63">
        <v>150.0</v>
      </c>
      <c r="F31" s="63">
        <v>140.0</v>
      </c>
      <c r="G31" s="66">
        <v>109.0</v>
      </c>
      <c r="H31" s="52">
        <v>151.0</v>
      </c>
      <c r="I31" s="52">
        <v>103.0</v>
      </c>
      <c r="J31" s="52">
        <v>65.0</v>
      </c>
      <c r="K31" s="52">
        <v>83.0</v>
      </c>
      <c r="L31" s="52">
        <v>33.53</v>
      </c>
      <c r="M31" s="52">
        <v>44.83</v>
      </c>
    </row>
    <row r="32" ht="15.75" customHeight="1">
      <c r="A32" s="177" t="s">
        <v>39</v>
      </c>
      <c r="B32" s="179"/>
      <c r="C32" s="179"/>
      <c r="D32" s="181"/>
      <c r="E32" s="182"/>
      <c r="F32" s="182"/>
      <c r="G32" s="183"/>
      <c r="H32" s="179"/>
      <c r="I32" s="179"/>
      <c r="J32" s="179"/>
      <c r="K32" s="179"/>
      <c r="L32" s="179"/>
      <c r="M32" s="179"/>
    </row>
    <row r="33" ht="15.75" customHeight="1">
      <c r="A33" s="52" t="s">
        <v>45</v>
      </c>
      <c r="B33" s="52" t="s">
        <v>32</v>
      </c>
      <c r="C33" s="52">
        <v>18.07</v>
      </c>
      <c r="D33" s="60">
        <v>17.37</v>
      </c>
      <c r="E33" s="63">
        <v>17.59</v>
      </c>
      <c r="F33" s="63">
        <v>16.78</v>
      </c>
      <c r="G33" s="66">
        <v>17.17</v>
      </c>
      <c r="H33" s="52">
        <v>17.28</v>
      </c>
      <c r="I33" s="52">
        <v>17.42</v>
      </c>
      <c r="J33" s="52">
        <v>17.04</v>
      </c>
      <c r="K33" s="52">
        <v>14.01</v>
      </c>
      <c r="L33" s="52">
        <v>12.3</v>
      </c>
      <c r="M33" s="52">
        <v>12.69</v>
      </c>
    </row>
    <row r="34" ht="15.75" customHeight="1">
      <c r="A34" s="52" t="s">
        <v>46</v>
      </c>
      <c r="B34" s="52" t="s">
        <v>32</v>
      </c>
      <c r="C34" s="52">
        <v>44.23</v>
      </c>
      <c r="D34" s="60">
        <v>40.15</v>
      </c>
      <c r="E34" s="63">
        <v>47.12</v>
      </c>
      <c r="F34" s="63">
        <v>46.99</v>
      </c>
      <c r="G34" s="66">
        <v>45.24</v>
      </c>
      <c r="H34" s="52">
        <v>54.88</v>
      </c>
      <c r="I34" s="52">
        <v>50.82</v>
      </c>
      <c r="J34" s="52">
        <v>55.66</v>
      </c>
      <c r="K34" s="52">
        <v>55.98</v>
      </c>
      <c r="L34" s="52">
        <v>53.75</v>
      </c>
      <c r="M34" s="52">
        <v>51.71</v>
      </c>
    </row>
    <row r="35" ht="15.75" customHeight="1">
      <c r="A35" s="177" t="s">
        <v>48</v>
      </c>
      <c r="B35" s="179"/>
      <c r="C35" s="179"/>
      <c r="D35" s="181"/>
      <c r="E35" s="182"/>
      <c r="F35" s="182"/>
      <c r="G35" s="183"/>
      <c r="H35" s="179"/>
      <c r="I35" s="179"/>
      <c r="J35" s="179"/>
      <c r="K35" s="179"/>
      <c r="L35" s="184"/>
      <c r="M35" s="179"/>
    </row>
    <row r="36" ht="15.75" customHeight="1">
      <c r="A36" s="52" t="s">
        <v>63</v>
      </c>
      <c r="B36" s="52" t="s">
        <v>18</v>
      </c>
      <c r="C36" s="70">
        <v>9631.0</v>
      </c>
      <c r="D36" s="67">
        <v>14489.0</v>
      </c>
      <c r="E36" s="97">
        <v>11168.0</v>
      </c>
      <c r="F36" s="97">
        <v>10132.0</v>
      </c>
      <c r="G36" s="69">
        <v>12713.0</v>
      </c>
      <c r="H36" s="70">
        <v>8034.0</v>
      </c>
      <c r="I36" s="70">
        <v>9966.0</v>
      </c>
      <c r="J36" s="70">
        <v>12686.0</v>
      </c>
      <c r="K36" s="70">
        <v>10799.0</v>
      </c>
      <c r="L36" s="138">
        <v>10139.48</v>
      </c>
      <c r="M36" s="138">
        <v>11882.8</v>
      </c>
    </row>
    <row r="37" ht="15.75" customHeight="1">
      <c r="A37" s="52" t="s">
        <v>43</v>
      </c>
      <c r="B37" s="52" t="s">
        <v>32</v>
      </c>
      <c r="C37" s="52">
        <v>1.48</v>
      </c>
      <c r="D37" s="60">
        <v>2.64</v>
      </c>
      <c r="E37" s="63">
        <v>2.37</v>
      </c>
      <c r="F37" s="63">
        <v>2.35</v>
      </c>
      <c r="G37" s="66">
        <v>3.28</v>
      </c>
      <c r="H37" s="52">
        <v>2.32</v>
      </c>
      <c r="I37" s="52">
        <v>3.08</v>
      </c>
      <c r="J37" s="52">
        <v>4.29</v>
      </c>
      <c r="K37" s="52">
        <v>3.84</v>
      </c>
      <c r="L37" s="52">
        <v>3.95</v>
      </c>
      <c r="M37" s="52">
        <v>4.71</v>
      </c>
    </row>
    <row r="38" ht="15.75" customHeight="1">
      <c r="A38" s="52" t="s">
        <v>44</v>
      </c>
      <c r="B38" s="52" t="s">
        <v>32</v>
      </c>
      <c r="C38" s="52">
        <v>19.58</v>
      </c>
      <c r="D38" s="60">
        <v>53.9</v>
      </c>
      <c r="E38" s="63">
        <v>20.29</v>
      </c>
      <c r="F38" s="63">
        <v>29.28</v>
      </c>
      <c r="G38" s="66">
        <v>73.12</v>
      </c>
      <c r="H38" s="52" t="s">
        <v>73</v>
      </c>
      <c r="I38" s="52">
        <v>-24.21</v>
      </c>
      <c r="J38" s="52">
        <v>75.16</v>
      </c>
      <c r="K38" s="52">
        <v>-11.21</v>
      </c>
      <c r="L38" s="52">
        <v>2.62</v>
      </c>
      <c r="M38" s="52" t="s">
        <v>24</v>
      </c>
    </row>
    <row r="39" ht="15.75" customHeight="1">
      <c r="A39" s="52" t="s">
        <v>53</v>
      </c>
      <c r="B39" s="52" t="s">
        <v>32</v>
      </c>
      <c r="C39" s="52">
        <v>18.9</v>
      </c>
      <c r="D39" s="60">
        <v>16.08</v>
      </c>
      <c r="E39" s="63">
        <v>8.91</v>
      </c>
      <c r="F39" s="63">
        <v>8.76</v>
      </c>
      <c r="G39" s="66">
        <v>4.12</v>
      </c>
      <c r="H39" s="52" t="s">
        <v>73</v>
      </c>
      <c r="I39" s="52">
        <v>0.92</v>
      </c>
      <c r="J39" s="52">
        <v>12.02</v>
      </c>
      <c r="K39" s="52">
        <v>1.64</v>
      </c>
      <c r="L39" s="52">
        <v>-4.28</v>
      </c>
      <c r="M39" s="52" t="s">
        <v>24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B46" s="159"/>
      <c r="C46" s="159"/>
      <c r="K46" s="159"/>
    </row>
    <row r="47" ht="15.75" customHeight="1">
      <c r="B47" s="159"/>
      <c r="C47" s="159"/>
      <c r="K47" s="159"/>
      <c r="L47" s="159"/>
    </row>
    <row r="48" ht="15.75" customHeight="1">
      <c r="B48" s="159"/>
      <c r="C48" s="159"/>
      <c r="K48" s="159"/>
      <c r="L48" s="159"/>
    </row>
    <row r="49" ht="15.75" customHeight="1">
      <c r="B49" s="159"/>
      <c r="C49" s="159"/>
      <c r="K49" s="159"/>
      <c r="L49" s="159"/>
    </row>
    <row r="50" ht="15.75" customHeight="1">
      <c r="K50" s="159"/>
      <c r="L50" s="159"/>
    </row>
    <row r="51" ht="15.75" customHeight="1">
      <c r="B51" s="159"/>
      <c r="C51" s="159"/>
      <c r="K51" s="159"/>
    </row>
    <row r="52" ht="15.75" customHeight="1"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</row>
    <row r="53" ht="15.75" customHeight="1"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</row>
    <row r="54" ht="15.75" customHeight="1">
      <c r="K54" s="159"/>
      <c r="L54" s="15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B66" s="159"/>
      <c r="C66" s="159"/>
      <c r="D66" s="159"/>
      <c r="E66" s="159"/>
      <c r="F66" s="159"/>
      <c r="G66" s="159"/>
      <c r="H66" s="159"/>
      <c r="I66" s="159"/>
      <c r="J66" s="159"/>
      <c r="K66" s="159"/>
    </row>
    <row r="67" ht="15.75" customHeight="1">
      <c r="K67" s="158"/>
      <c r="L67" s="158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2:F2"/>
    <mergeCell ref="A3:A12"/>
    <mergeCell ref="B3:H3"/>
    <mergeCell ref="B4:G4"/>
    <mergeCell ref="B5:G5"/>
    <mergeCell ref="B6:G6"/>
    <mergeCell ref="B7:G7"/>
    <mergeCell ref="B12:G1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6" width="14.43"/>
  </cols>
  <sheetData>
    <row r="2">
      <c r="B2" s="4" t="s">
        <v>68</v>
      </c>
    </row>
    <row r="3">
      <c r="A3" s="114"/>
      <c r="B3" s="162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5">
        <f>AVERAGE(C28:M28)</f>
        <v>0.1064</v>
      </c>
    </row>
    <row r="5">
      <c r="B5" s="9" t="s">
        <v>6</v>
      </c>
      <c r="H5" s="15">
        <f>STDEV(C28:M28)</f>
        <v>0.04742840921</v>
      </c>
    </row>
    <row r="6">
      <c r="B6" s="9" t="s">
        <v>7</v>
      </c>
      <c r="H6" s="14">
        <f>(H4-0.03)/H5</f>
        <v>1.610848883</v>
      </c>
    </row>
    <row r="7">
      <c r="B7" s="9" t="s">
        <v>8</v>
      </c>
      <c r="H7" s="15">
        <f>AVERAGE(D28:I28)</f>
        <v>0.09161666667</v>
      </c>
    </row>
    <row r="8">
      <c r="B8" s="9" t="s">
        <v>9</v>
      </c>
      <c r="H8" s="15">
        <f>STDEV(D28:I28)</f>
        <v>0.04040115922</v>
      </c>
    </row>
    <row r="9">
      <c r="B9" s="9" t="s">
        <v>10</v>
      </c>
      <c r="H9" s="14">
        <f>(H7-0.03)/H8</f>
        <v>1.525121255</v>
      </c>
    </row>
    <row r="10">
      <c r="B10" s="9" t="s">
        <v>11</v>
      </c>
      <c r="H10" s="15">
        <f>(C20/M20)^(1/10)-1</f>
        <v>0.05486343801</v>
      </c>
    </row>
    <row r="11">
      <c r="B11" s="9" t="s">
        <v>12</v>
      </c>
      <c r="H11" s="16">
        <v>-81.5</v>
      </c>
    </row>
    <row r="12">
      <c r="B12" s="9" t="s">
        <v>13</v>
      </c>
      <c r="H12" s="17">
        <f>SLOPE(C31:M31,C15:M15)*100</f>
        <v>1.007</v>
      </c>
    </row>
    <row r="15">
      <c r="A15" s="163" t="s">
        <v>14</v>
      </c>
      <c r="B15" s="163" t="s">
        <v>15</v>
      </c>
      <c r="C15" s="165">
        <v>2025.0</v>
      </c>
      <c r="D15" s="167">
        <v>2024.0</v>
      </c>
      <c r="E15" s="169">
        <v>2023.0</v>
      </c>
      <c r="F15" s="169">
        <v>2022.0</v>
      </c>
      <c r="G15" s="171">
        <v>2021.0</v>
      </c>
      <c r="H15" s="165">
        <v>2020.0</v>
      </c>
      <c r="I15" s="165">
        <v>2019.0</v>
      </c>
      <c r="J15" s="165">
        <v>2018.0</v>
      </c>
      <c r="K15" s="165">
        <v>2017.0</v>
      </c>
      <c r="L15" s="165">
        <v>2016.0</v>
      </c>
      <c r="M15" s="165">
        <v>2015.0</v>
      </c>
    </row>
    <row r="16">
      <c r="A16" s="174" t="s">
        <v>70</v>
      </c>
      <c r="B16" s="175"/>
      <c r="C16" s="175"/>
      <c r="D16" s="176"/>
      <c r="E16" s="178"/>
      <c r="F16" s="178"/>
      <c r="G16" s="180"/>
      <c r="H16" s="175"/>
      <c r="I16" s="175"/>
      <c r="J16" s="175"/>
      <c r="K16" s="175"/>
      <c r="L16" s="175"/>
      <c r="M16" s="175"/>
    </row>
    <row r="17">
      <c r="A17" s="52" t="s">
        <v>17</v>
      </c>
      <c r="B17" s="52" t="s">
        <v>18</v>
      </c>
      <c r="C17" s="52">
        <v>477887.53</v>
      </c>
      <c r="D17" s="60">
        <v>444690.3</v>
      </c>
      <c r="E17" s="63">
        <v>402173.04</v>
      </c>
      <c r="F17" s="63">
        <v>382328.47</v>
      </c>
      <c r="G17" s="66">
        <v>359411.36</v>
      </c>
      <c r="H17" s="52">
        <v>330785.56</v>
      </c>
      <c r="I17" s="52">
        <v>316363.47</v>
      </c>
      <c r="J17" s="52">
        <v>291385.64</v>
      </c>
      <c r="K17" s="52">
        <v>260169.93</v>
      </c>
      <c r="L17" s="138">
        <v>204127.47</v>
      </c>
      <c r="M17" s="138">
        <v>182800.17</v>
      </c>
    </row>
    <row r="18">
      <c r="A18" s="52" t="s">
        <v>19</v>
      </c>
      <c r="B18" s="52" t="s">
        <v>18</v>
      </c>
      <c r="C18" s="52">
        <v>285935.57</v>
      </c>
      <c r="D18" s="60">
        <v>300025.11</v>
      </c>
      <c r="E18" s="63">
        <v>284830.98</v>
      </c>
      <c r="F18" s="63">
        <v>280890.53</v>
      </c>
      <c r="G18" s="66">
        <v>266766.89</v>
      </c>
      <c r="H18" s="52">
        <v>248994.39</v>
      </c>
      <c r="I18" s="52">
        <v>236890.45</v>
      </c>
      <c r="J18" s="52">
        <v>224230.61</v>
      </c>
      <c r="K18" s="52">
        <v>199660.72</v>
      </c>
      <c r="L18" s="138">
        <v>150912.52</v>
      </c>
      <c r="M18" s="138">
        <v>126338.83</v>
      </c>
    </row>
    <row r="19">
      <c r="A19" s="52" t="s">
        <v>20</v>
      </c>
      <c r="B19" s="52" t="s">
        <v>18</v>
      </c>
      <c r="C19" s="52">
        <v>394682.05</v>
      </c>
      <c r="D19" s="60">
        <v>355121.12</v>
      </c>
      <c r="E19" s="63">
        <v>317227.09</v>
      </c>
      <c r="F19" s="63">
        <v>294060.0</v>
      </c>
      <c r="G19" s="66">
        <v>274905.61</v>
      </c>
      <c r="H19" s="52">
        <v>252817.4</v>
      </c>
      <c r="I19" s="52">
        <v>262961.05</v>
      </c>
      <c r="J19" s="52">
        <v>243643.42</v>
      </c>
      <c r="K19" s="52">
        <v>220516.63</v>
      </c>
      <c r="L19" s="138">
        <v>165257.45</v>
      </c>
      <c r="M19" s="138">
        <v>154869.52</v>
      </c>
    </row>
    <row r="20">
      <c r="A20" s="52" t="s">
        <v>22</v>
      </c>
      <c r="B20" s="52" t="s">
        <v>18</v>
      </c>
      <c r="C20" s="52">
        <v>26465.41</v>
      </c>
      <c r="D20" s="60">
        <v>25810.06</v>
      </c>
      <c r="E20" s="63">
        <v>25984.47</v>
      </c>
      <c r="F20" s="63">
        <v>25275.15</v>
      </c>
      <c r="G20" s="66">
        <v>24403.9</v>
      </c>
      <c r="H20" s="52">
        <v>22101.78</v>
      </c>
      <c r="I20" s="52">
        <v>20908.29</v>
      </c>
      <c r="J20" s="52">
        <v>18683.55</v>
      </c>
      <c r="K20" s="52">
        <v>17584.02</v>
      </c>
      <c r="L20" s="138">
        <v>16809.61</v>
      </c>
      <c r="M20" s="138">
        <v>15513.73</v>
      </c>
    </row>
    <row r="21" ht="15.75" customHeight="1">
      <c r="A21" s="174" t="s">
        <v>71</v>
      </c>
      <c r="B21" s="175"/>
      <c r="C21" s="175"/>
      <c r="D21" s="176"/>
      <c r="E21" s="178"/>
      <c r="F21" s="178"/>
      <c r="G21" s="180"/>
      <c r="H21" s="175"/>
      <c r="I21" s="175"/>
      <c r="J21" s="175"/>
      <c r="K21" s="175"/>
      <c r="L21" s="192"/>
      <c r="M21" s="192"/>
    </row>
    <row r="22" ht="15.75" customHeight="1">
      <c r="A22" s="52" t="s">
        <v>25</v>
      </c>
      <c r="B22" s="52" t="s">
        <v>18</v>
      </c>
      <c r="C22" s="52">
        <v>9546.99</v>
      </c>
      <c r="D22" s="60">
        <v>7904.06</v>
      </c>
      <c r="E22" s="63">
        <v>7413.24</v>
      </c>
      <c r="F22" s="63">
        <v>8628.54</v>
      </c>
      <c r="G22" s="66">
        <v>8895.23</v>
      </c>
      <c r="H22" s="52">
        <v>6616.23</v>
      </c>
      <c r="I22" s="52">
        <v>8600.64</v>
      </c>
      <c r="J22" s="52">
        <v>7482.8</v>
      </c>
      <c r="K22" s="52">
        <v>6203.98</v>
      </c>
      <c r="L22" s="138">
        <v>3157.72</v>
      </c>
      <c r="M22" s="138">
        <v>2304.15</v>
      </c>
    </row>
    <row r="23" ht="15.75" customHeight="1">
      <c r="A23" s="52" t="s">
        <v>26</v>
      </c>
      <c r="B23" s="52" t="s">
        <v>18</v>
      </c>
      <c r="C23" s="52">
        <v>4347.58</v>
      </c>
      <c r="D23" s="60">
        <v>6202.27</v>
      </c>
      <c r="E23" s="63">
        <v>6336.05</v>
      </c>
      <c r="F23" s="63">
        <v>6729.1</v>
      </c>
      <c r="G23" s="66">
        <v>4482.98</v>
      </c>
      <c r="H23" s="52">
        <v>3927.34</v>
      </c>
      <c r="I23" s="52">
        <v>4575.36</v>
      </c>
      <c r="J23" s="52">
        <v>4357.71</v>
      </c>
      <c r="K23" s="52">
        <v>5650.33</v>
      </c>
      <c r="L23" s="138">
        <v>6931.26</v>
      </c>
      <c r="M23" s="138">
        <v>5639.87</v>
      </c>
    </row>
    <row r="24" ht="15.75" customHeight="1">
      <c r="A24" s="52" t="s">
        <v>27</v>
      </c>
      <c r="B24" s="52" t="s">
        <v>18</v>
      </c>
      <c r="C24" s="52">
        <v>1199.87</v>
      </c>
      <c r="D24" s="60">
        <v>631.22</v>
      </c>
      <c r="E24" s="63">
        <v>2028.61</v>
      </c>
      <c r="F24" s="63">
        <v>2202.58</v>
      </c>
      <c r="G24" s="66">
        <v>3418.62</v>
      </c>
      <c r="H24" s="52">
        <v>2161.32</v>
      </c>
      <c r="I24" s="52">
        <v>2175.49</v>
      </c>
      <c r="J24" s="52">
        <v>3000.95</v>
      </c>
      <c r="K24" s="52">
        <v>3017.73</v>
      </c>
      <c r="L24" s="138">
        <v>2227.36</v>
      </c>
      <c r="M24" s="138">
        <v>1393.29</v>
      </c>
    </row>
    <row r="25" ht="15.75" customHeight="1">
      <c r="A25" s="174" t="s">
        <v>28</v>
      </c>
      <c r="B25" s="175"/>
      <c r="C25" s="175"/>
      <c r="D25" s="176"/>
      <c r="E25" s="178"/>
      <c r="F25" s="178"/>
      <c r="G25" s="180"/>
      <c r="H25" s="175"/>
      <c r="I25" s="175"/>
      <c r="J25" s="175"/>
      <c r="K25" s="175"/>
      <c r="L25" s="192"/>
      <c r="M25" s="175"/>
    </row>
    <row r="26" ht="15.75" customHeight="1">
      <c r="A26" s="52" t="s">
        <v>29</v>
      </c>
      <c r="B26" s="52" t="s">
        <v>30</v>
      </c>
      <c r="C26" s="52">
        <v>1.08</v>
      </c>
      <c r="D26" s="60">
        <v>0.57</v>
      </c>
      <c r="E26" s="63">
        <v>1.83</v>
      </c>
      <c r="F26" s="63">
        <v>1.99</v>
      </c>
      <c r="G26" s="66">
        <v>3.31</v>
      </c>
      <c r="H26" s="52">
        <v>2.2</v>
      </c>
      <c r="I26" s="52">
        <v>2.32</v>
      </c>
      <c r="J26" s="52">
        <v>3.68</v>
      </c>
      <c r="K26" s="52">
        <v>3.7</v>
      </c>
      <c r="L26" s="52">
        <v>3.01</v>
      </c>
      <c r="M26" s="52">
        <v>1.88</v>
      </c>
    </row>
    <row r="27" ht="15.75" customHeight="1">
      <c r="A27" s="52" t="s">
        <v>31</v>
      </c>
      <c r="B27" s="52" t="s">
        <v>32</v>
      </c>
      <c r="C27" s="152">
        <v>0.0026</v>
      </c>
      <c r="D27" s="153">
        <v>0.0015</v>
      </c>
      <c r="E27" s="154">
        <v>0.0052</v>
      </c>
      <c r="F27" s="154">
        <v>0.0059</v>
      </c>
      <c r="G27" s="155">
        <v>0.0099</v>
      </c>
      <c r="H27" s="152">
        <v>0.0073</v>
      </c>
      <c r="I27" s="152">
        <v>0.0078</v>
      </c>
      <c r="J27" s="152">
        <v>0.0109</v>
      </c>
      <c r="K27" s="152">
        <v>0.013</v>
      </c>
      <c r="L27" s="152">
        <v>0.0115</v>
      </c>
      <c r="M27" s="152">
        <v>0.0079</v>
      </c>
    </row>
    <row r="28" ht="15.75" customHeight="1">
      <c r="A28" s="52" t="s">
        <v>33</v>
      </c>
      <c r="B28" s="52" t="s">
        <v>32</v>
      </c>
      <c r="C28" s="152">
        <v>0.0459</v>
      </c>
      <c r="D28" s="153">
        <v>0.0244</v>
      </c>
      <c r="E28" s="154">
        <v>0.0792</v>
      </c>
      <c r="F28" s="154">
        <v>0.0887</v>
      </c>
      <c r="G28" s="155">
        <v>0.147</v>
      </c>
      <c r="H28" s="152">
        <v>0.1005</v>
      </c>
      <c r="I28" s="152">
        <v>0.1099</v>
      </c>
      <c r="J28" s="152">
        <v>0.1655</v>
      </c>
      <c r="K28" s="152">
        <v>0.1755</v>
      </c>
      <c r="L28" s="152">
        <v>0.1378</v>
      </c>
      <c r="M28" s="152">
        <v>0.096</v>
      </c>
    </row>
    <row r="29" ht="15.75" customHeight="1">
      <c r="A29" s="174" t="s">
        <v>34</v>
      </c>
      <c r="B29" s="175"/>
      <c r="C29" s="175"/>
      <c r="D29" s="176"/>
      <c r="E29" s="178"/>
      <c r="F29" s="178"/>
      <c r="G29" s="180"/>
      <c r="H29" s="175"/>
      <c r="I29" s="175"/>
      <c r="J29" s="175"/>
      <c r="K29" s="175"/>
      <c r="L29" s="198"/>
      <c r="M29" s="198"/>
    </row>
    <row r="30" ht="15.75" customHeight="1">
      <c r="A30" s="52" t="s">
        <v>38</v>
      </c>
      <c r="B30" s="52" t="s">
        <v>32</v>
      </c>
      <c r="C30" s="152">
        <v>0.7289</v>
      </c>
      <c r="D30" s="153">
        <v>0.8253</v>
      </c>
      <c r="E30" s="154">
        <v>0.8557</v>
      </c>
      <c r="F30" s="154">
        <v>0.8682</v>
      </c>
      <c r="G30" s="155">
        <v>0.8598</v>
      </c>
      <c r="H30" s="152">
        <v>0.843</v>
      </c>
      <c r="I30" s="152">
        <v>0.841</v>
      </c>
      <c r="J30" s="152">
        <v>0.863</v>
      </c>
      <c r="K30" s="152">
        <v>0.8425</v>
      </c>
      <c r="L30" s="152">
        <v>0.9132</v>
      </c>
      <c r="M30" s="152">
        <v>0.8158</v>
      </c>
    </row>
    <row r="31" ht="15.75" customHeight="1">
      <c r="A31" s="52" t="s">
        <v>35</v>
      </c>
      <c r="B31" s="52" t="s">
        <v>32</v>
      </c>
      <c r="C31" s="152">
        <v>0.1519</v>
      </c>
      <c r="D31" s="153">
        <v>0.1725</v>
      </c>
      <c r="E31" s="154">
        <v>0.0608</v>
      </c>
      <c r="F31" s="154">
        <v>0.0709</v>
      </c>
      <c r="G31" s="155">
        <v>0.0454</v>
      </c>
      <c r="H31" s="152">
        <v>0.0472</v>
      </c>
      <c r="I31" s="152">
        <v>0.0486</v>
      </c>
      <c r="J31" s="152">
        <v>0.0482</v>
      </c>
      <c r="K31" s="152">
        <v>0.0379</v>
      </c>
      <c r="L31" s="152">
        <v>0.0513</v>
      </c>
      <c r="M31" s="152">
        <v>0.0495</v>
      </c>
    </row>
    <row r="32" ht="15.75" customHeight="1">
      <c r="A32" s="52" t="s">
        <v>37</v>
      </c>
      <c r="B32" s="52" t="s">
        <v>32</v>
      </c>
      <c r="C32" s="152">
        <v>0.1487</v>
      </c>
      <c r="D32" s="153">
        <v>0.2212</v>
      </c>
      <c r="E32" s="154">
        <v>0.3696</v>
      </c>
      <c r="F32" s="154">
        <v>0.4046</v>
      </c>
      <c r="G32" s="155">
        <v>0.4236</v>
      </c>
      <c r="H32" s="152">
        <v>0.4155</v>
      </c>
      <c r="I32" s="152">
        <v>0.393</v>
      </c>
      <c r="J32" s="152">
        <v>0.441</v>
      </c>
      <c r="K32" s="152">
        <v>0.5244</v>
      </c>
      <c r="L32" s="152">
        <v>0.9081</v>
      </c>
      <c r="M32" s="152">
        <v>1.0007</v>
      </c>
    </row>
    <row r="33" ht="15.75" customHeight="1">
      <c r="A33" s="174" t="s">
        <v>39</v>
      </c>
      <c r="B33" s="175"/>
      <c r="C33" s="175"/>
      <c r="D33" s="176"/>
      <c r="E33" s="178"/>
      <c r="F33" s="178"/>
      <c r="G33" s="180"/>
      <c r="H33" s="175"/>
      <c r="I33" s="175"/>
      <c r="J33" s="175"/>
      <c r="K33" s="175"/>
      <c r="L33" s="198"/>
      <c r="M33" s="198"/>
    </row>
    <row r="34" ht="15.75" customHeight="1">
      <c r="A34" s="52" t="s">
        <v>45</v>
      </c>
      <c r="B34" s="52" t="s">
        <v>32</v>
      </c>
      <c r="C34" s="152">
        <v>0.1252</v>
      </c>
      <c r="D34" s="153">
        <v>0.1307</v>
      </c>
      <c r="E34" s="154">
        <v>0.1479</v>
      </c>
      <c r="F34" s="154">
        <v>0.1435</v>
      </c>
      <c r="G34" s="155">
        <v>0.1409</v>
      </c>
      <c r="H34" s="152">
        <v>0.1361</v>
      </c>
      <c r="I34" s="152">
        <v>0.1392</v>
      </c>
      <c r="J34" s="152">
        <v>0.1328</v>
      </c>
      <c r="K34" s="152">
        <v>0.1193</v>
      </c>
      <c r="L34" s="152">
        <v>0.1303</v>
      </c>
      <c r="M34" s="152">
        <v>0.1187</v>
      </c>
    </row>
    <row r="35" ht="15.75" customHeight="1">
      <c r="A35" s="52" t="s">
        <v>46</v>
      </c>
      <c r="B35" s="52" t="s">
        <v>32</v>
      </c>
      <c r="C35" s="152">
        <v>0.5813</v>
      </c>
      <c r="D35" s="153">
        <v>0.6006</v>
      </c>
      <c r="E35" s="154">
        <v>0.6065</v>
      </c>
      <c r="F35" s="154">
        <v>0.5352</v>
      </c>
      <c r="G35" s="155">
        <v>0.5431</v>
      </c>
      <c r="H35" s="152">
        <v>0.6256</v>
      </c>
      <c r="I35" s="152">
        <v>0.4417</v>
      </c>
      <c r="J35" s="152">
        <v>0.4641</v>
      </c>
      <c r="K35" s="152">
        <v>0.4457</v>
      </c>
      <c r="L35" s="152">
        <v>0.5603</v>
      </c>
      <c r="M35" s="152">
        <v>0.5046</v>
      </c>
    </row>
    <row r="36" ht="15.75" customHeight="1">
      <c r="A36" s="174" t="s">
        <v>48</v>
      </c>
      <c r="B36" s="175"/>
      <c r="C36" s="175"/>
      <c r="D36" s="176"/>
      <c r="E36" s="178"/>
      <c r="F36" s="178"/>
      <c r="G36" s="180"/>
      <c r="H36" s="175"/>
      <c r="I36" s="175"/>
      <c r="J36" s="175"/>
      <c r="K36" s="175"/>
      <c r="L36" s="198"/>
      <c r="M36" s="198"/>
    </row>
    <row r="37" ht="15.75" customHeight="1">
      <c r="A37" s="52" t="s">
        <v>63</v>
      </c>
      <c r="B37" s="52" t="s">
        <v>18</v>
      </c>
      <c r="C37" s="52">
        <v>43420.65</v>
      </c>
      <c r="D37" s="60">
        <v>51761.7</v>
      </c>
      <c r="E37" s="63">
        <v>17313.35</v>
      </c>
      <c r="F37" s="63">
        <v>19928.63</v>
      </c>
      <c r="G37" s="66">
        <v>12112.51</v>
      </c>
      <c r="H37" s="52">
        <v>11751.16</v>
      </c>
      <c r="I37" s="52">
        <v>11502.61</v>
      </c>
      <c r="J37" s="52">
        <v>10802.43</v>
      </c>
      <c r="K37" s="52">
        <v>7564.72</v>
      </c>
      <c r="L37" s="138">
        <v>7745.88</v>
      </c>
      <c r="M37" s="138">
        <v>6250.77</v>
      </c>
    </row>
    <row r="38" ht="15.75" customHeight="1">
      <c r="A38" s="52" t="s">
        <v>43</v>
      </c>
      <c r="B38" s="52" t="s">
        <v>32</v>
      </c>
      <c r="C38" s="152">
        <v>0.0909</v>
      </c>
      <c r="D38" s="153">
        <v>0.1164</v>
      </c>
      <c r="E38" s="154">
        <v>0.0431</v>
      </c>
      <c r="F38" s="154">
        <v>0.0521</v>
      </c>
      <c r="G38" s="155">
        <v>0.0337</v>
      </c>
      <c r="H38" s="152">
        <v>0.0355</v>
      </c>
      <c r="I38" s="152">
        <v>0.0364</v>
      </c>
      <c r="J38" s="152">
        <v>0.0371</v>
      </c>
      <c r="K38" s="152">
        <v>0.0291</v>
      </c>
      <c r="L38" s="152">
        <v>0.0379</v>
      </c>
      <c r="M38" s="152">
        <v>0.0342</v>
      </c>
    </row>
    <row r="39" ht="15.75" customHeight="1">
      <c r="A39" s="52" t="s">
        <v>44</v>
      </c>
      <c r="B39" s="52" t="s">
        <v>32</v>
      </c>
      <c r="C39" s="152">
        <v>0.9009</v>
      </c>
      <c r="D39" s="153">
        <v>-0.6888</v>
      </c>
      <c r="E39" s="154">
        <v>-0.079</v>
      </c>
      <c r="F39" s="154">
        <v>-0.3557</v>
      </c>
      <c r="G39" s="155">
        <v>0.5818</v>
      </c>
      <c r="H39" s="152">
        <v>-0.0065</v>
      </c>
      <c r="I39" s="152">
        <v>-0.2751</v>
      </c>
      <c r="J39" s="152">
        <v>-0.0056</v>
      </c>
      <c r="K39" s="52" t="s">
        <v>24</v>
      </c>
      <c r="L39" s="152">
        <v>0.5987</v>
      </c>
      <c r="M39" s="152">
        <v>0.1723</v>
      </c>
    </row>
    <row r="40" ht="15.75" customHeight="1">
      <c r="A40" s="52" t="s">
        <v>53</v>
      </c>
      <c r="B40" s="52" t="s">
        <v>32</v>
      </c>
      <c r="C40" s="152">
        <v>0.0254</v>
      </c>
      <c r="D40" s="153">
        <v>-0.0067</v>
      </c>
      <c r="E40" s="154">
        <v>0.0281</v>
      </c>
      <c r="F40" s="154">
        <v>0.0357</v>
      </c>
      <c r="G40" s="155">
        <v>0.1042</v>
      </c>
      <c r="H40" s="152">
        <v>0.0571</v>
      </c>
      <c r="I40" s="152">
        <v>0.1191</v>
      </c>
      <c r="J40" s="152">
        <v>0.0625</v>
      </c>
      <c r="K40" s="52" t="s">
        <v>24</v>
      </c>
      <c r="L40" s="152">
        <v>0.0835</v>
      </c>
      <c r="M40" s="152">
        <v>0.1475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A49" s="157"/>
      <c r="B49" s="157"/>
      <c r="C49" s="157"/>
    </row>
    <row r="50" ht="15.75" customHeight="1"/>
    <row r="51" ht="15.75" customHeight="1">
      <c r="B51" s="158"/>
      <c r="C51" s="158"/>
    </row>
    <row r="52" ht="15.75" customHeight="1">
      <c r="B52" s="158"/>
      <c r="C52" s="158"/>
    </row>
    <row r="53" ht="15.75" customHeight="1">
      <c r="B53" s="158"/>
      <c r="C53" s="158"/>
    </row>
    <row r="54" ht="15.75" customHeight="1">
      <c r="B54" s="158"/>
      <c r="C54" s="158"/>
    </row>
    <row r="55" ht="15.75" customHeight="1">
      <c r="B55" s="158"/>
      <c r="C55" s="158"/>
    </row>
    <row r="56" ht="15.75" customHeight="1">
      <c r="B56" s="158"/>
      <c r="C56" s="158"/>
    </row>
    <row r="57" ht="15.75" customHeight="1">
      <c r="B57" s="158"/>
      <c r="C57" s="158"/>
    </row>
    <row r="58" ht="15.75" customHeight="1">
      <c r="B58" s="158"/>
      <c r="C58" s="158"/>
    </row>
    <row r="59" ht="15.75" customHeight="1">
      <c r="B59" s="158"/>
      <c r="D59" s="101"/>
      <c r="E59" s="101"/>
      <c r="F59" s="101"/>
      <c r="G59" s="101"/>
      <c r="H59" s="101"/>
      <c r="I59" s="101"/>
      <c r="J59" s="101"/>
    </row>
    <row r="60" ht="15.75" customHeight="1">
      <c r="D60" s="101"/>
      <c r="E60" s="101"/>
      <c r="F60" s="101"/>
      <c r="G60" s="101"/>
      <c r="H60" s="101"/>
      <c r="I60" s="101"/>
      <c r="J60" s="101"/>
    </row>
    <row r="61" ht="15.75" customHeight="1">
      <c r="B61" s="101"/>
      <c r="C61" s="101"/>
    </row>
    <row r="62" ht="15.75" customHeight="1">
      <c r="B62" s="101"/>
      <c r="C62" s="101"/>
      <c r="D62" s="101"/>
      <c r="E62" s="101"/>
      <c r="F62" s="101"/>
      <c r="G62" s="101"/>
      <c r="H62" s="101"/>
      <c r="I62" s="101"/>
      <c r="J62" s="101"/>
    </row>
    <row r="63" ht="15.75" customHeight="1">
      <c r="B63" s="101"/>
      <c r="C63" s="101"/>
      <c r="D63" s="101"/>
      <c r="E63" s="101"/>
      <c r="F63" s="101"/>
      <c r="G63" s="101"/>
      <c r="H63" s="101"/>
      <c r="I63" s="101"/>
      <c r="J63" s="101"/>
    </row>
    <row r="64" ht="15.75" customHeight="1">
      <c r="B64" s="101"/>
      <c r="C64" s="101"/>
      <c r="D64" s="101"/>
      <c r="E64" s="101"/>
      <c r="F64" s="101"/>
      <c r="G64" s="101"/>
      <c r="H64" s="101"/>
      <c r="I64" s="101"/>
      <c r="J64" s="101"/>
    </row>
    <row r="65" ht="15.75" customHeight="1">
      <c r="B65" s="101"/>
      <c r="C65" s="101"/>
    </row>
    <row r="66" ht="15.75" customHeight="1">
      <c r="B66" s="101"/>
      <c r="C66" s="101"/>
      <c r="D66" s="101"/>
      <c r="E66" s="101"/>
      <c r="F66" s="101"/>
      <c r="G66" s="101"/>
      <c r="H66" s="101"/>
      <c r="I66" s="101"/>
      <c r="J66" s="101"/>
    </row>
    <row r="67" ht="15.75" customHeight="1">
      <c r="B67" s="101"/>
      <c r="C67" s="101"/>
      <c r="D67" s="101"/>
      <c r="E67" s="101"/>
      <c r="F67" s="101"/>
      <c r="G67" s="101"/>
      <c r="H67" s="101"/>
      <c r="I67" s="101"/>
      <c r="J67" s="101"/>
    </row>
    <row r="68" ht="15.75" customHeight="1">
      <c r="B68" s="101"/>
      <c r="C68" s="101"/>
    </row>
    <row r="69" ht="15.75" customHeight="1">
      <c r="B69" s="101"/>
      <c r="C69" s="101"/>
    </row>
    <row r="70" ht="15.75" customHeight="1">
      <c r="B70" s="101"/>
      <c r="C70" s="101"/>
      <c r="D70" s="101"/>
      <c r="E70" s="101"/>
      <c r="F70" s="101"/>
      <c r="G70" s="101"/>
      <c r="H70" s="101"/>
      <c r="I70" s="101"/>
      <c r="J70" s="101"/>
    </row>
    <row r="71" ht="15.75" customHeight="1">
      <c r="B71" s="158"/>
      <c r="C71" s="158"/>
      <c r="D71" s="101"/>
      <c r="E71" s="101"/>
      <c r="F71" s="101"/>
      <c r="G71" s="101"/>
      <c r="H71" s="101"/>
      <c r="I71" s="101"/>
    </row>
    <row r="72" ht="15.75" customHeight="1">
      <c r="B72" s="101"/>
      <c r="C72" s="101"/>
      <c r="D72" s="101"/>
      <c r="E72" s="101"/>
      <c r="F72" s="101"/>
      <c r="G72" s="101"/>
      <c r="H72" s="101"/>
      <c r="I72" s="101"/>
    </row>
    <row r="73" ht="15.75" customHeight="1">
      <c r="B73" s="101"/>
      <c r="C73" s="101"/>
    </row>
    <row r="74" ht="15.75" customHeight="1">
      <c r="B74" s="101"/>
      <c r="C74" s="101"/>
    </row>
    <row r="75" ht="15.75" customHeight="1">
      <c r="B75" s="101"/>
      <c r="C75" s="101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2:F2"/>
    <mergeCell ref="A3:A13"/>
    <mergeCell ref="B3:H3"/>
    <mergeCell ref="B4:G4"/>
    <mergeCell ref="B5:G5"/>
    <mergeCell ref="B6:G6"/>
    <mergeCell ref="B7:G7"/>
    <mergeCell ref="B12:G1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6" width="14.43"/>
  </cols>
  <sheetData>
    <row r="2">
      <c r="B2" s="4" t="s">
        <v>69</v>
      </c>
    </row>
    <row r="3">
      <c r="A3" s="114"/>
      <c r="B3" s="166" t="s">
        <v>4</v>
      </c>
      <c r="C3" s="7"/>
      <c r="D3" s="7"/>
      <c r="E3" s="7"/>
      <c r="F3" s="7"/>
      <c r="G3" s="7"/>
      <c r="H3" s="8"/>
    </row>
    <row r="4">
      <c r="B4" s="9" t="s">
        <v>5</v>
      </c>
      <c r="H4" s="15">
        <f>AVERAGE(C28:M28)</f>
        <v>0.07301818182</v>
      </c>
    </row>
    <row r="5">
      <c r="B5" s="9" t="s">
        <v>6</v>
      </c>
      <c r="H5" s="15">
        <f>STDEV(C28:M28)</f>
        <v>0.02913131711</v>
      </c>
    </row>
    <row r="6">
      <c r="B6" s="9" t="s">
        <v>7</v>
      </c>
      <c r="H6" s="14">
        <f>(H4-0.03)/H5</f>
        <v>1.476698828</v>
      </c>
    </row>
    <row r="7">
      <c r="B7" s="9" t="s">
        <v>8</v>
      </c>
      <c r="H7" s="15">
        <f>AVERAGE(D28:I28)</f>
        <v>0.05935</v>
      </c>
    </row>
    <row r="8">
      <c r="B8" s="9" t="s">
        <v>9</v>
      </c>
      <c r="H8" s="15">
        <f>STDEV(D28:I28)</f>
        <v>0.02451560727</v>
      </c>
    </row>
    <row r="9">
      <c r="B9" s="9" t="s">
        <v>10</v>
      </c>
      <c r="H9" s="14">
        <f>(H7-0.03)/H8</f>
        <v>1.197196532</v>
      </c>
    </row>
    <row r="10">
      <c r="B10" s="9" t="s">
        <v>11</v>
      </c>
      <c r="H10" s="15">
        <f>(C20/M20)^(1/10)-1</f>
        <v>0.02379280897</v>
      </c>
    </row>
    <row r="11">
      <c r="B11" s="9" t="s">
        <v>12</v>
      </c>
      <c r="H11" s="16">
        <v>-85.9</v>
      </c>
    </row>
    <row r="12">
      <c r="B12" s="9" t="s">
        <v>13</v>
      </c>
      <c r="H12" s="17">
        <f>SLOPE(C31:M31,C15:M15)*100</f>
        <v>0.6207272727</v>
      </c>
    </row>
    <row r="15">
      <c r="A15" s="186" t="s">
        <v>14</v>
      </c>
      <c r="B15" s="186" t="s">
        <v>15</v>
      </c>
      <c r="C15" s="187">
        <v>2025.0</v>
      </c>
      <c r="D15" s="188">
        <v>2024.0</v>
      </c>
      <c r="E15" s="189">
        <v>2023.0</v>
      </c>
      <c r="F15" s="189">
        <v>2022.0</v>
      </c>
      <c r="G15" s="190">
        <v>2021.0</v>
      </c>
      <c r="H15" s="187">
        <v>2020.0</v>
      </c>
      <c r="I15" s="187">
        <v>2019.0</v>
      </c>
      <c r="J15" s="187">
        <v>2018.0</v>
      </c>
      <c r="K15" s="187">
        <v>2017.0</v>
      </c>
      <c r="L15" s="187">
        <v>2016.0</v>
      </c>
      <c r="M15" s="187">
        <v>2015.0</v>
      </c>
    </row>
    <row r="16">
      <c r="A16" s="191" t="s">
        <v>70</v>
      </c>
      <c r="B16" s="193"/>
      <c r="C16" s="193"/>
      <c r="D16" s="194"/>
      <c r="E16" s="195"/>
      <c r="F16" s="195"/>
      <c r="G16" s="196"/>
      <c r="H16" s="193"/>
      <c r="I16" s="193"/>
      <c r="J16" s="193"/>
      <c r="K16" s="193"/>
      <c r="L16" s="193"/>
      <c r="M16" s="193"/>
    </row>
    <row r="17">
      <c r="A17" s="52" t="s">
        <v>17</v>
      </c>
      <c r="B17" s="52" t="s">
        <v>18</v>
      </c>
      <c r="C17" s="138">
        <v>554424.56</v>
      </c>
      <c r="D17" s="139">
        <v>545858.6</v>
      </c>
      <c r="E17" s="140">
        <v>510864.24</v>
      </c>
      <c r="F17" s="140">
        <v>493092.84</v>
      </c>
      <c r="G17" s="141">
        <v>495841.96</v>
      </c>
      <c r="H17" s="138">
        <v>465293.41</v>
      </c>
      <c r="I17" s="138">
        <v>422312.71</v>
      </c>
      <c r="J17" s="138">
        <v>381575.68</v>
      </c>
      <c r="K17" s="138">
        <v>339288.05</v>
      </c>
      <c r="L17" s="138">
        <v>291798.01</v>
      </c>
      <c r="M17" s="138">
        <v>260718.03</v>
      </c>
    </row>
    <row r="18">
      <c r="A18" s="52" t="s">
        <v>19</v>
      </c>
      <c r="B18" s="52" t="s">
        <v>18</v>
      </c>
      <c r="C18" s="138">
        <v>377258.69</v>
      </c>
      <c r="D18" s="139">
        <v>372907.25</v>
      </c>
      <c r="E18" s="140">
        <v>354353.23</v>
      </c>
      <c r="F18" s="140">
        <v>347743.59</v>
      </c>
      <c r="G18" s="141">
        <v>336329.37</v>
      </c>
      <c r="H18" s="138">
        <v>322251.46</v>
      </c>
      <c r="I18" s="138">
        <v>296752.96</v>
      </c>
      <c r="J18" s="138">
        <v>267671.63</v>
      </c>
      <c r="K18" s="138">
        <v>234316.72</v>
      </c>
      <c r="L18" s="138">
        <v>191865.59</v>
      </c>
      <c r="M18" s="138">
        <v>168878.46</v>
      </c>
    </row>
    <row r="19">
      <c r="A19" s="52" t="s">
        <v>20</v>
      </c>
      <c r="B19" s="52" t="s">
        <v>18</v>
      </c>
      <c r="C19" s="138">
        <v>439234.9</v>
      </c>
      <c r="D19" s="139">
        <v>411343.9</v>
      </c>
      <c r="E19" s="140">
        <v>386402.44</v>
      </c>
      <c r="F19" s="140">
        <v>371143.44</v>
      </c>
      <c r="G19" s="141">
        <v>376700.77</v>
      </c>
      <c r="H19" s="138">
        <v>359535.94</v>
      </c>
      <c r="I19" s="138">
        <v>329250.27</v>
      </c>
      <c r="J19" s="138">
        <v>298334.79</v>
      </c>
      <c r="K19" s="138">
        <v>269828.08</v>
      </c>
      <c r="L19" s="138">
        <v>229973.43</v>
      </c>
      <c r="M19" s="138">
        <v>210431.09</v>
      </c>
    </row>
    <row r="20">
      <c r="A20" s="52" t="s">
        <v>22</v>
      </c>
      <c r="B20" s="52" t="s">
        <v>18</v>
      </c>
      <c r="C20" s="138">
        <v>34418.82</v>
      </c>
      <c r="D20" s="139">
        <v>31543.57</v>
      </c>
      <c r="E20" s="140">
        <v>32044.73</v>
      </c>
      <c r="F20" s="140">
        <v>30755.56</v>
      </c>
      <c r="G20" s="141">
        <v>29987.33</v>
      </c>
      <c r="H20" s="138">
        <v>29703.77</v>
      </c>
      <c r="I20" s="138">
        <v>30499.46</v>
      </c>
      <c r="J20" s="138">
        <v>28116.66</v>
      </c>
      <c r="K20" s="138">
        <v>25823.65</v>
      </c>
      <c r="L20" s="138">
        <v>26523.56</v>
      </c>
      <c r="M20" s="138">
        <v>27206.66</v>
      </c>
    </row>
    <row r="21" ht="15.75" customHeight="1">
      <c r="A21" s="191" t="s">
        <v>71</v>
      </c>
      <c r="B21" s="193"/>
      <c r="C21" s="193"/>
      <c r="D21" s="194"/>
      <c r="E21" s="195"/>
      <c r="F21" s="195"/>
      <c r="G21" s="196"/>
      <c r="H21" s="193"/>
      <c r="I21" s="193"/>
      <c r="J21" s="193"/>
      <c r="K21" s="193"/>
      <c r="L21" s="193"/>
      <c r="M21" s="197"/>
    </row>
    <row r="22" ht="15.75" customHeight="1">
      <c r="A22" s="52" t="s">
        <v>25</v>
      </c>
      <c r="B22" s="52" t="s">
        <v>18</v>
      </c>
      <c r="C22" s="138">
        <v>2115.55</v>
      </c>
      <c r="D22" s="139">
        <v>4021.2</v>
      </c>
      <c r="E22" s="140">
        <v>2661.03</v>
      </c>
      <c r="F22" s="140">
        <v>3144.32</v>
      </c>
      <c r="G22" s="141">
        <v>2921.56</v>
      </c>
      <c r="H22" s="138">
        <v>2481.41</v>
      </c>
      <c r="I22" s="138">
        <v>4256.99</v>
      </c>
      <c r="J22" s="138">
        <v>5199.94</v>
      </c>
      <c r="K22" s="138">
        <v>4027.69</v>
      </c>
      <c r="L22" s="138">
        <v>4207.21</v>
      </c>
      <c r="M22" s="138">
        <v>3138.46</v>
      </c>
    </row>
    <row r="23" ht="15.75" customHeight="1">
      <c r="A23" s="52" t="s">
        <v>26</v>
      </c>
      <c r="B23" s="52" t="s">
        <v>18</v>
      </c>
      <c r="C23" s="138">
        <v>17702.47</v>
      </c>
      <c r="D23" s="139">
        <v>15142.09</v>
      </c>
      <c r="E23" s="140">
        <v>14118.37</v>
      </c>
      <c r="F23" s="140">
        <v>14443.01</v>
      </c>
      <c r="G23" s="141">
        <v>11751.22</v>
      </c>
      <c r="H23" s="138">
        <v>11289.14</v>
      </c>
      <c r="I23" s="138">
        <v>4844.75</v>
      </c>
      <c r="J23" s="138">
        <v>4632.22</v>
      </c>
      <c r="K23" s="138">
        <v>4334.7</v>
      </c>
      <c r="L23" s="138">
        <v>3565.64</v>
      </c>
      <c r="M23" s="138">
        <v>8465.93</v>
      </c>
    </row>
    <row r="24" ht="15.75" customHeight="1">
      <c r="A24" s="52" t="s">
        <v>27</v>
      </c>
      <c r="B24" s="52" t="s">
        <v>18</v>
      </c>
      <c r="C24" s="138">
        <v>3350.33</v>
      </c>
      <c r="D24" s="60">
        <v>432.64</v>
      </c>
      <c r="E24" s="140">
        <v>2133.83</v>
      </c>
      <c r="F24" s="140">
        <v>1752.38</v>
      </c>
      <c r="G24" s="141">
        <v>1784.3</v>
      </c>
      <c r="H24" s="138">
        <v>2149.1</v>
      </c>
      <c r="I24" s="138">
        <v>2508.56</v>
      </c>
      <c r="J24" s="138">
        <v>2473.21</v>
      </c>
      <c r="K24" s="138">
        <v>1168.63</v>
      </c>
      <c r="L24" s="138">
        <v>2435.07</v>
      </c>
      <c r="M24" s="138">
        <v>3069.42</v>
      </c>
    </row>
    <row r="25" ht="15.75" customHeight="1">
      <c r="A25" s="191" t="s">
        <v>28</v>
      </c>
      <c r="B25" s="193"/>
      <c r="C25" s="193"/>
      <c r="D25" s="194"/>
      <c r="E25" s="195"/>
      <c r="F25" s="195"/>
      <c r="G25" s="196"/>
      <c r="H25" s="193"/>
      <c r="I25" s="193"/>
      <c r="J25" s="193"/>
      <c r="K25" s="193"/>
      <c r="L25" s="193"/>
      <c r="M25" s="197"/>
    </row>
    <row r="26" ht="15.75" customHeight="1">
      <c r="A26" s="52" t="s">
        <v>29</v>
      </c>
      <c r="B26" s="52" t="s">
        <v>30</v>
      </c>
      <c r="C26" s="52">
        <v>2.51</v>
      </c>
      <c r="D26" s="60">
        <v>0.32</v>
      </c>
      <c r="E26" s="63">
        <v>1.66</v>
      </c>
      <c r="F26" s="63">
        <v>1.42</v>
      </c>
      <c r="G26" s="66">
        <v>1.5</v>
      </c>
      <c r="H26" s="52">
        <v>1.81</v>
      </c>
      <c r="I26" s="52">
        <v>2.11</v>
      </c>
      <c r="J26" s="52">
        <v>2.13</v>
      </c>
      <c r="K26" s="52">
        <v>1.11</v>
      </c>
      <c r="L26" s="52">
        <v>2.66</v>
      </c>
      <c r="M26" s="52">
        <v>3.35</v>
      </c>
    </row>
    <row r="27" ht="15.75" customHeight="1">
      <c r="A27" s="52" t="s">
        <v>31</v>
      </c>
      <c r="B27" s="52" t="s">
        <v>32</v>
      </c>
      <c r="C27" s="152">
        <v>0.0061</v>
      </c>
      <c r="D27" s="153">
        <v>9.0E-4</v>
      </c>
      <c r="E27" s="154">
        <v>0.0042</v>
      </c>
      <c r="F27" s="154">
        <v>0.0036</v>
      </c>
      <c r="G27" s="155">
        <v>0.0037</v>
      </c>
      <c r="H27" s="152">
        <v>0.0047</v>
      </c>
      <c r="I27" s="152">
        <v>0.0062</v>
      </c>
      <c r="J27" s="152">
        <v>0.0069</v>
      </c>
      <c r="K27" s="152">
        <v>0.0037</v>
      </c>
      <c r="L27" s="152">
        <v>0.0088</v>
      </c>
      <c r="M27" s="152">
        <v>0.0123</v>
      </c>
    </row>
    <row r="28" ht="15.75" customHeight="1">
      <c r="A28" s="52" t="s">
        <v>33</v>
      </c>
      <c r="B28" s="52" t="s">
        <v>32</v>
      </c>
      <c r="C28" s="152">
        <v>0.1016</v>
      </c>
      <c r="D28" s="153">
        <v>0.0136</v>
      </c>
      <c r="E28" s="154">
        <v>0.068</v>
      </c>
      <c r="F28" s="154">
        <v>0.0577</v>
      </c>
      <c r="G28" s="155">
        <v>0.0598</v>
      </c>
      <c r="H28" s="152">
        <v>0.0714</v>
      </c>
      <c r="I28" s="152">
        <v>0.0856</v>
      </c>
      <c r="J28" s="152">
        <v>0.0917</v>
      </c>
      <c r="K28" s="152">
        <v>0.0446</v>
      </c>
      <c r="L28" s="152">
        <v>0.0906</v>
      </c>
      <c r="M28" s="152">
        <v>0.1186</v>
      </c>
    </row>
    <row r="29" ht="15.75" customHeight="1">
      <c r="A29" s="191" t="s">
        <v>34</v>
      </c>
      <c r="B29" s="193"/>
      <c r="C29" s="193"/>
      <c r="D29" s="194"/>
      <c r="E29" s="195"/>
      <c r="F29" s="195"/>
      <c r="G29" s="196"/>
      <c r="H29" s="193"/>
      <c r="I29" s="193"/>
      <c r="J29" s="193"/>
      <c r="K29" s="193"/>
      <c r="L29" s="193"/>
      <c r="M29" s="200"/>
    </row>
    <row r="30" ht="15.75" customHeight="1">
      <c r="A30" s="52" t="s">
        <v>38</v>
      </c>
      <c r="B30" s="52" t="s">
        <v>32</v>
      </c>
      <c r="C30" s="152">
        <v>0.8332</v>
      </c>
      <c r="D30" s="153">
        <v>0.8549</v>
      </c>
      <c r="E30" s="154">
        <v>0.8581</v>
      </c>
      <c r="F30" s="154">
        <v>0.8486</v>
      </c>
      <c r="G30" s="155">
        <v>0.787</v>
      </c>
      <c r="H30" s="152">
        <v>0.8026</v>
      </c>
      <c r="I30" s="152">
        <v>0.8163</v>
      </c>
      <c r="J30" s="152">
        <v>0.8155</v>
      </c>
      <c r="K30" s="152">
        <v>0.8212</v>
      </c>
      <c r="L30" s="152">
        <v>0.8343</v>
      </c>
      <c r="M30" s="152">
        <v>0.8025</v>
      </c>
    </row>
    <row r="31" ht="15.75" customHeight="1">
      <c r="A31" s="52" t="s">
        <v>35</v>
      </c>
      <c r="B31" s="52" t="s">
        <v>32</v>
      </c>
      <c r="C31" s="152">
        <v>0.0751</v>
      </c>
      <c r="D31" s="153">
        <v>0.1482</v>
      </c>
      <c r="E31" s="154">
        <v>0.0965</v>
      </c>
      <c r="F31" s="154">
        <v>0.0654</v>
      </c>
      <c r="G31" s="155">
        <v>0.0481</v>
      </c>
      <c r="H31" s="152">
        <v>0.031</v>
      </c>
      <c r="I31" s="152">
        <v>0.0487</v>
      </c>
      <c r="J31" s="152">
        <v>0.0587</v>
      </c>
      <c r="K31" s="152">
        <v>0.0599</v>
      </c>
      <c r="L31" s="152">
        <v>0.0489</v>
      </c>
      <c r="M31" s="152">
        <v>0.0425</v>
      </c>
    </row>
    <row r="32" ht="15.75" customHeight="1">
      <c r="A32" s="52" t="s">
        <v>37</v>
      </c>
      <c r="B32" s="52" t="s">
        <v>32</v>
      </c>
      <c r="C32" s="152">
        <v>0.8061</v>
      </c>
      <c r="D32" s="153">
        <v>0.5968</v>
      </c>
      <c r="E32" s="154">
        <v>0.8949</v>
      </c>
      <c r="F32" s="154">
        <v>1.2767</v>
      </c>
      <c r="G32" s="155">
        <v>1.6355</v>
      </c>
      <c r="H32" s="152">
        <v>2.4011</v>
      </c>
      <c r="I32" s="152">
        <v>1.306</v>
      </c>
      <c r="J32" s="152">
        <v>0.8537</v>
      </c>
      <c r="K32" s="152">
        <v>0.7255</v>
      </c>
      <c r="L32" s="152">
        <v>0.6653</v>
      </c>
      <c r="M32" s="152">
        <v>0.323</v>
      </c>
    </row>
    <row r="33" ht="15.75" customHeight="1">
      <c r="A33" s="191" t="s">
        <v>39</v>
      </c>
      <c r="B33" s="193"/>
      <c r="C33" s="193"/>
      <c r="D33" s="194"/>
      <c r="E33" s="195"/>
      <c r="F33" s="195"/>
      <c r="G33" s="196"/>
      <c r="H33" s="193"/>
      <c r="I33" s="193"/>
      <c r="J33" s="193"/>
      <c r="K33" s="193"/>
      <c r="L33" s="193"/>
      <c r="M33" s="200"/>
    </row>
    <row r="34" ht="15.75" customHeight="1">
      <c r="A34" s="52" t="s">
        <v>45</v>
      </c>
      <c r="B34" s="52" t="s">
        <v>32</v>
      </c>
      <c r="C34" s="152">
        <v>0.1361</v>
      </c>
      <c r="D34" s="153">
        <v>0.1164</v>
      </c>
      <c r="E34" s="154">
        <v>0.1341</v>
      </c>
      <c r="F34" s="154">
        <v>0.1275</v>
      </c>
      <c r="G34" s="155">
        <v>0.1386</v>
      </c>
      <c r="H34" s="152">
        <v>0.1435</v>
      </c>
      <c r="I34" s="152">
        <v>0.1152</v>
      </c>
      <c r="J34" s="152">
        <v>0.1238</v>
      </c>
      <c r="K34" s="152">
        <v>0.1084</v>
      </c>
      <c r="L34" s="152">
        <v>0.1215</v>
      </c>
      <c r="M34" s="152">
        <v>0.1152</v>
      </c>
    </row>
    <row r="35" ht="15.75" customHeight="1">
      <c r="A35" s="52" t="s">
        <v>46</v>
      </c>
      <c r="B35" s="52" t="s">
        <v>32</v>
      </c>
      <c r="C35" s="152">
        <v>0.3956</v>
      </c>
      <c r="D35" s="153">
        <v>0.3883</v>
      </c>
      <c r="E35" s="154">
        <v>0.4721</v>
      </c>
      <c r="F35" s="154">
        <v>0.407</v>
      </c>
      <c r="G35" s="155">
        <v>0.409</v>
      </c>
      <c r="H35" s="152">
        <v>0.3998</v>
      </c>
      <c r="I35" s="152">
        <v>0.3758</v>
      </c>
      <c r="J35" s="152">
        <v>0.3461</v>
      </c>
      <c r="K35" s="152">
        <v>0.3496</v>
      </c>
      <c r="L35" s="152">
        <v>0.3384</v>
      </c>
      <c r="M35" s="152">
        <v>0.3077</v>
      </c>
    </row>
    <row r="36" ht="15.75" customHeight="1">
      <c r="A36" s="191" t="s">
        <v>48</v>
      </c>
      <c r="B36" s="193"/>
      <c r="C36" s="193"/>
      <c r="D36" s="194"/>
      <c r="E36" s="195"/>
      <c r="F36" s="195"/>
      <c r="G36" s="196"/>
      <c r="H36" s="193"/>
      <c r="I36" s="193"/>
      <c r="J36" s="193"/>
      <c r="K36" s="193"/>
      <c r="L36" s="193"/>
      <c r="M36" s="200"/>
    </row>
    <row r="37" ht="15.75" customHeight="1">
      <c r="A37" s="52" t="s">
        <v>63</v>
      </c>
      <c r="B37" s="52" t="s">
        <v>18</v>
      </c>
      <c r="C37" s="138">
        <v>28127.54</v>
      </c>
      <c r="D37" s="139">
        <v>54813.65</v>
      </c>
      <c r="E37" s="140">
        <v>33899.63</v>
      </c>
      <c r="F37" s="140">
        <v>22570.29</v>
      </c>
      <c r="G37" s="141">
        <v>16035.56</v>
      </c>
      <c r="H37" s="138">
        <v>9939.76</v>
      </c>
      <c r="I37" s="138">
        <v>14375.29</v>
      </c>
      <c r="J37" s="138">
        <v>15558.85</v>
      </c>
      <c r="K37" s="138">
        <v>13878.53</v>
      </c>
      <c r="L37" s="138">
        <v>9257.79</v>
      </c>
      <c r="M37" s="138">
        <v>7193.82</v>
      </c>
    </row>
    <row r="38" ht="15.75" customHeight="1">
      <c r="A38" s="52" t="s">
        <v>43</v>
      </c>
      <c r="B38" s="52" t="s">
        <v>32</v>
      </c>
      <c r="C38" s="152">
        <v>0.0507</v>
      </c>
      <c r="D38" s="153">
        <v>0.1004</v>
      </c>
      <c r="E38" s="154">
        <v>0.0664</v>
      </c>
      <c r="F38" s="154">
        <v>0.0458</v>
      </c>
      <c r="G38" s="155">
        <v>0.0323</v>
      </c>
      <c r="H38" s="152">
        <v>0.0214</v>
      </c>
      <c r="I38" s="152">
        <v>0.034</v>
      </c>
      <c r="J38" s="152">
        <v>0.0408</v>
      </c>
      <c r="K38" s="152">
        <v>0.0409</v>
      </c>
      <c r="L38" s="152">
        <v>0.0317</v>
      </c>
      <c r="M38" s="152">
        <v>0.0276</v>
      </c>
    </row>
    <row r="39" ht="15.75" customHeight="1">
      <c r="A39" s="52" t="s">
        <v>44</v>
      </c>
      <c r="B39" s="52" t="s">
        <v>32</v>
      </c>
      <c r="C39" s="152">
        <v>6.7442</v>
      </c>
      <c r="D39" s="153">
        <v>-0.7972</v>
      </c>
      <c r="E39" s="154">
        <v>0.2177</v>
      </c>
      <c r="F39" s="154">
        <v>-0.0179</v>
      </c>
      <c r="G39" s="155">
        <v>-0.1698</v>
      </c>
      <c r="H39" s="152">
        <v>-0.1433</v>
      </c>
      <c r="I39" s="152">
        <v>0.0143</v>
      </c>
      <c r="J39" s="152">
        <v>1.1163</v>
      </c>
      <c r="K39" s="152">
        <v>-0.52</v>
      </c>
      <c r="L39" s="52" t="s">
        <v>24</v>
      </c>
      <c r="M39" s="211" t="s">
        <v>75</v>
      </c>
    </row>
    <row r="40" ht="15.75" customHeight="1">
      <c r="A40" s="52" t="s">
        <v>53</v>
      </c>
      <c r="B40" s="52" t="s">
        <v>32</v>
      </c>
      <c r="C40" s="152">
        <v>0.0911</v>
      </c>
      <c r="D40" s="153">
        <v>-0.0156</v>
      </c>
      <c r="E40" s="154">
        <v>0.0419</v>
      </c>
      <c r="F40" s="154">
        <v>0.0256</v>
      </c>
      <c r="G40" s="155">
        <v>0.0095</v>
      </c>
      <c r="H40" s="152">
        <v>-0.0261</v>
      </c>
      <c r="I40" s="152">
        <v>0.0848</v>
      </c>
      <c r="J40" s="152">
        <v>0.0888</v>
      </c>
      <c r="K40" s="152">
        <v>-0.0264</v>
      </c>
      <c r="L40" s="52" t="s">
        <v>24</v>
      </c>
      <c r="M40" s="152">
        <v>0.1085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D47" s="157"/>
    </row>
    <row r="48" ht="15.75" customHeight="1"/>
    <row r="49" ht="15.75" customHeight="1">
      <c r="D49" s="158"/>
    </row>
    <row r="50" ht="15.75" customHeight="1">
      <c r="D50" s="158"/>
      <c r="E50" s="158"/>
      <c r="F50" s="158"/>
      <c r="G50" s="158"/>
      <c r="H50" s="158"/>
      <c r="I50" s="158"/>
      <c r="J50" s="158"/>
      <c r="K50" s="158"/>
    </row>
    <row r="51" ht="15.75" customHeight="1">
      <c r="D51" s="158"/>
      <c r="E51" s="158"/>
      <c r="F51" s="158"/>
      <c r="G51" s="158"/>
      <c r="H51" s="158"/>
      <c r="I51" s="158"/>
      <c r="J51" s="158"/>
      <c r="K51" s="158"/>
    </row>
    <row r="52" ht="15.75" customHeight="1">
      <c r="D52" s="158"/>
      <c r="E52" s="158"/>
      <c r="F52" s="158"/>
      <c r="G52" s="158"/>
      <c r="H52" s="158"/>
      <c r="I52" s="158"/>
      <c r="J52" s="158"/>
      <c r="K52" s="158"/>
    </row>
    <row r="53" ht="15.75" customHeight="1">
      <c r="D53" s="158"/>
      <c r="E53" s="158"/>
      <c r="F53" s="158"/>
      <c r="G53" s="158"/>
      <c r="H53" s="158"/>
      <c r="I53" s="158"/>
      <c r="J53" s="158"/>
      <c r="K53" s="158"/>
    </row>
    <row r="54" ht="15.75" customHeight="1"/>
    <row r="55" ht="15.75" customHeight="1">
      <c r="D55" s="158"/>
      <c r="E55" s="158"/>
      <c r="F55" s="158"/>
      <c r="G55" s="158"/>
      <c r="H55" s="158"/>
      <c r="I55" s="158"/>
      <c r="J55" s="158"/>
      <c r="K55" s="158"/>
    </row>
    <row r="56" ht="15.75" customHeight="1">
      <c r="D56" s="158"/>
      <c r="E56" s="158"/>
      <c r="F56" s="158"/>
      <c r="G56" s="158"/>
      <c r="H56" s="158"/>
      <c r="I56" s="158"/>
      <c r="J56" s="158"/>
      <c r="K56" s="158"/>
    </row>
    <row r="57" ht="15.75" customHeight="1">
      <c r="D57" s="158"/>
      <c r="E57" s="158"/>
      <c r="F57" s="158"/>
      <c r="G57" s="158"/>
      <c r="H57" s="158"/>
      <c r="I57" s="158"/>
      <c r="J57" s="158"/>
      <c r="K57" s="158"/>
    </row>
    <row r="58" ht="15.75" customHeight="1"/>
    <row r="59" ht="15.75" customHeight="1">
      <c r="D59" s="101"/>
    </row>
    <row r="60" ht="15.75" customHeight="1">
      <c r="D60" s="101"/>
      <c r="E60" s="101"/>
      <c r="F60" s="101"/>
      <c r="G60" s="101"/>
      <c r="H60" s="101"/>
      <c r="I60" s="101"/>
      <c r="J60" s="101"/>
      <c r="K60" s="101"/>
    </row>
    <row r="61" ht="15.75" customHeight="1">
      <c r="D61" s="101"/>
      <c r="E61" s="101"/>
      <c r="F61" s="101"/>
      <c r="G61" s="101"/>
      <c r="H61" s="101"/>
      <c r="I61" s="101"/>
      <c r="J61" s="101"/>
      <c r="K61" s="101"/>
    </row>
    <row r="62" ht="15.75" customHeight="1">
      <c r="D62" s="101"/>
    </row>
    <row r="63" ht="15.75" customHeight="1">
      <c r="D63" s="101"/>
      <c r="E63" s="101"/>
      <c r="F63" s="101"/>
      <c r="G63" s="101"/>
      <c r="H63" s="101"/>
      <c r="I63" s="101"/>
      <c r="J63" s="101"/>
      <c r="K63" s="101"/>
    </row>
    <row r="64" ht="15.75" customHeight="1">
      <c r="D64" s="101"/>
      <c r="E64" s="101"/>
      <c r="F64" s="101"/>
      <c r="G64" s="101"/>
      <c r="H64" s="101"/>
      <c r="I64" s="101"/>
      <c r="J64" s="101"/>
      <c r="K64" s="101"/>
    </row>
    <row r="65" ht="15.75" customHeight="1">
      <c r="D65" s="101"/>
      <c r="E65" s="101"/>
      <c r="F65" s="101"/>
      <c r="G65" s="101"/>
      <c r="H65" s="101"/>
      <c r="I65" s="101"/>
      <c r="J65" s="101"/>
      <c r="K65" s="101"/>
    </row>
    <row r="66" ht="15.75" customHeight="1">
      <c r="D66" s="101"/>
    </row>
    <row r="67" ht="15.75" customHeight="1">
      <c r="D67" s="101"/>
      <c r="E67" s="101"/>
      <c r="F67" s="101"/>
      <c r="G67" s="101"/>
      <c r="H67" s="101"/>
      <c r="I67" s="101"/>
      <c r="J67" s="101"/>
      <c r="K67" s="101"/>
    </row>
    <row r="68" ht="15.75" customHeight="1">
      <c r="D68" s="101"/>
      <c r="E68" s="101"/>
      <c r="F68" s="101"/>
      <c r="G68" s="101"/>
      <c r="H68" s="101"/>
      <c r="I68" s="101"/>
      <c r="J68" s="101"/>
      <c r="K68" s="101"/>
    </row>
    <row r="69" ht="15.75" customHeight="1">
      <c r="D69" s="158"/>
    </row>
    <row r="70" ht="15.75" customHeight="1">
      <c r="D70" s="101"/>
      <c r="E70" s="158"/>
      <c r="F70" s="158"/>
      <c r="G70" s="158"/>
      <c r="H70" s="158"/>
      <c r="I70" s="158"/>
      <c r="J70" s="158"/>
      <c r="K70" s="158"/>
    </row>
    <row r="71" ht="15.75" customHeight="1">
      <c r="E71" s="101"/>
      <c r="F71" s="101"/>
      <c r="G71" s="101"/>
      <c r="H71" s="101"/>
      <c r="I71" s="101"/>
      <c r="J71" s="101"/>
      <c r="K71" s="101"/>
    </row>
    <row r="72" ht="15.75" customHeight="1">
      <c r="D72" s="101"/>
      <c r="E72" s="101"/>
      <c r="F72" s="101"/>
      <c r="G72" s="101"/>
      <c r="H72" s="101"/>
      <c r="I72" s="101"/>
      <c r="J72" s="101"/>
    </row>
    <row r="73" ht="15.75" customHeight="1">
      <c r="D73" s="101"/>
      <c r="E73" s="101"/>
      <c r="F73" s="101"/>
      <c r="G73" s="101"/>
      <c r="H73" s="101"/>
      <c r="I73" s="101"/>
      <c r="J73" s="10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G8"/>
    <mergeCell ref="B9:G9"/>
    <mergeCell ref="B10:G10"/>
    <mergeCell ref="B11:G11"/>
    <mergeCell ref="B2:F2"/>
    <mergeCell ref="A3:A13"/>
    <mergeCell ref="B3:H3"/>
    <mergeCell ref="B4:G4"/>
    <mergeCell ref="B5:G5"/>
    <mergeCell ref="B6:G6"/>
    <mergeCell ref="B7:G7"/>
    <mergeCell ref="B12:G1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6" width="14.43"/>
  </cols>
  <sheetData>
    <row r="3">
      <c r="B3" s="4" t="s">
        <v>72</v>
      </c>
    </row>
    <row r="4">
      <c r="A4" s="3"/>
      <c r="B4" s="199" t="s">
        <v>4</v>
      </c>
      <c r="C4" s="7"/>
      <c r="D4" s="7"/>
      <c r="E4" s="7"/>
      <c r="F4" s="7"/>
      <c r="G4" s="7"/>
      <c r="H4" s="8"/>
    </row>
    <row r="5">
      <c r="B5" s="9" t="s">
        <v>5</v>
      </c>
      <c r="H5" s="15">
        <f>AVERAGE(C28:M28)</f>
        <v>0.10133</v>
      </c>
    </row>
    <row r="6">
      <c r="B6" s="9" t="s">
        <v>6</v>
      </c>
      <c r="H6" s="15">
        <f>STDEV(C28:M28)</f>
        <v>0.05209813496</v>
      </c>
    </row>
    <row r="7">
      <c r="B7" s="9" t="s">
        <v>7</v>
      </c>
      <c r="H7" s="14">
        <f>(H5-0.03)/H6</f>
        <v>1.3691469</v>
      </c>
    </row>
    <row r="8">
      <c r="B8" s="9" t="s">
        <v>8</v>
      </c>
      <c r="H8" s="15">
        <f>AVERAGE(D28:I28)</f>
        <v>0.11525</v>
      </c>
    </row>
    <row r="9">
      <c r="B9" s="9" t="s">
        <v>9</v>
      </c>
      <c r="H9" s="15">
        <f>STDEV(D28:I28)</f>
        <v>0.03082977457</v>
      </c>
    </row>
    <row r="10">
      <c r="B10" s="9" t="s">
        <v>10</v>
      </c>
      <c r="H10" s="14">
        <f>(H8-0.03)/H9</f>
        <v>2.765184021</v>
      </c>
    </row>
    <row r="11">
      <c r="B11" s="9" t="s">
        <v>11</v>
      </c>
      <c r="H11" s="15">
        <f>(C20/L20)^(1/9)-1</f>
        <v>0.1197938344</v>
      </c>
    </row>
    <row r="12">
      <c r="B12" s="9" t="s">
        <v>12</v>
      </c>
      <c r="H12" s="16">
        <v>-121.1</v>
      </c>
    </row>
    <row r="13">
      <c r="B13" s="9" t="s">
        <v>13</v>
      </c>
      <c r="H13" s="17">
        <f>SLOPE(C31:M31,C15:M15)*100</f>
        <v>-0.4655757576</v>
      </c>
    </row>
    <row r="15">
      <c r="A15" s="201" t="s">
        <v>14</v>
      </c>
      <c r="B15" s="201" t="s">
        <v>15</v>
      </c>
      <c r="C15" s="202">
        <v>2025.0</v>
      </c>
      <c r="D15" s="203">
        <v>2024.0</v>
      </c>
      <c r="E15" s="204">
        <v>2023.0</v>
      </c>
      <c r="F15" s="204">
        <v>2022.0</v>
      </c>
      <c r="G15" s="205">
        <v>2021.0</v>
      </c>
      <c r="H15" s="202">
        <v>2020.0</v>
      </c>
      <c r="I15" s="202">
        <v>2019.0</v>
      </c>
      <c r="J15" s="202">
        <v>2018.0</v>
      </c>
      <c r="K15" s="202">
        <v>2017.0</v>
      </c>
      <c r="L15" s="202">
        <v>2016.0</v>
      </c>
      <c r="M15" s="202">
        <v>2015.0</v>
      </c>
    </row>
    <row r="16">
      <c r="A16" s="206" t="s">
        <v>70</v>
      </c>
      <c r="B16" s="207"/>
      <c r="C16" s="207"/>
      <c r="D16" s="208"/>
      <c r="E16" s="209"/>
      <c r="F16" s="209"/>
      <c r="G16" s="210"/>
      <c r="H16" s="207"/>
      <c r="I16" s="207"/>
      <c r="J16" s="207"/>
      <c r="K16" s="207"/>
      <c r="L16" s="207"/>
      <c r="M16" s="207"/>
    </row>
    <row r="17">
      <c r="A17" s="52" t="s">
        <v>17</v>
      </c>
      <c r="B17" s="52" t="s">
        <v>18</v>
      </c>
      <c r="C17" s="138">
        <v>1180136.62</v>
      </c>
      <c r="D17" s="139">
        <v>981203.16</v>
      </c>
      <c r="E17" s="140">
        <v>814866.57</v>
      </c>
      <c r="F17" s="140">
        <v>712755.71</v>
      </c>
      <c r="G17" s="141">
        <v>629481.34</v>
      </c>
      <c r="H17" s="138">
        <v>565032.07</v>
      </c>
      <c r="I17" s="138">
        <v>478074.84</v>
      </c>
      <c r="J17" s="138">
        <v>409744.09</v>
      </c>
      <c r="K17" s="138">
        <v>368314.62</v>
      </c>
      <c r="L17" s="138">
        <v>320361.89</v>
      </c>
      <c r="M17" s="52" t="s">
        <v>24</v>
      </c>
    </row>
    <row r="18">
      <c r="A18" s="52" t="s">
        <v>19</v>
      </c>
      <c r="B18" s="52" t="s">
        <v>18</v>
      </c>
      <c r="C18" s="138">
        <v>711406.26</v>
      </c>
      <c r="D18" s="139">
        <v>629254.27</v>
      </c>
      <c r="E18" s="140">
        <v>554495.5</v>
      </c>
      <c r="F18" s="140">
        <v>461884.13</v>
      </c>
      <c r="G18" s="141">
        <v>376656.43</v>
      </c>
      <c r="H18" s="138">
        <v>315578.9</v>
      </c>
      <c r="I18" s="138">
        <v>287034.67</v>
      </c>
      <c r="J18" s="138">
        <v>270909.51</v>
      </c>
      <c r="K18" s="138">
        <v>239539.6</v>
      </c>
      <c r="L18" s="138">
        <v>203011.23</v>
      </c>
      <c r="M18" s="52" t="s">
        <v>24</v>
      </c>
    </row>
    <row r="19">
      <c r="A19" s="52" t="s">
        <v>20</v>
      </c>
      <c r="B19" s="52" t="s">
        <v>18</v>
      </c>
      <c r="C19" s="138">
        <v>895194.94</v>
      </c>
      <c r="D19" s="139">
        <v>745231.77</v>
      </c>
      <c r="E19" s="140">
        <v>606296.41</v>
      </c>
      <c r="F19" s="140">
        <v>510836.52</v>
      </c>
      <c r="G19" s="141">
        <v>462400.22</v>
      </c>
      <c r="H19" s="138">
        <v>429343.02</v>
      </c>
      <c r="I19" s="138">
        <v>359418.89</v>
      </c>
      <c r="J19" s="138">
        <v>308899.77</v>
      </c>
      <c r="K19" s="138">
        <v>271605.83</v>
      </c>
      <c r="L19" s="138">
        <v>247278.5</v>
      </c>
      <c r="M19" s="52" t="s">
        <v>24</v>
      </c>
    </row>
    <row r="20">
      <c r="A20" s="52" t="s">
        <v>22</v>
      </c>
      <c r="B20" s="52" t="s">
        <v>18</v>
      </c>
      <c r="C20" s="138">
        <v>69611.97</v>
      </c>
      <c r="D20" s="139">
        <v>52605.95</v>
      </c>
      <c r="E20" s="140">
        <v>46844.04</v>
      </c>
      <c r="F20" s="140">
        <v>42486.09</v>
      </c>
      <c r="G20" s="141">
        <v>39453.55</v>
      </c>
      <c r="H20" s="138">
        <v>38808.04</v>
      </c>
      <c r="I20" s="138">
        <v>32271.71</v>
      </c>
      <c r="J20" s="138">
        <v>27377.1</v>
      </c>
      <c r="K20" s="138">
        <v>24420.31</v>
      </c>
      <c r="L20" s="138">
        <v>25144.4</v>
      </c>
      <c r="M20" s="52" t="s">
        <v>24</v>
      </c>
    </row>
    <row r="21" ht="15.75" customHeight="1">
      <c r="A21" s="206" t="s">
        <v>71</v>
      </c>
      <c r="B21" s="207"/>
      <c r="C21" s="207"/>
      <c r="D21" s="208"/>
      <c r="E21" s="209"/>
      <c r="F21" s="209"/>
      <c r="G21" s="210"/>
      <c r="H21" s="207"/>
      <c r="I21" s="207"/>
      <c r="J21" s="207"/>
      <c r="K21" s="207"/>
      <c r="L21" s="207"/>
      <c r="M21" s="207"/>
    </row>
    <row r="22" ht="15.75" customHeight="1">
      <c r="A22" s="52" t="s">
        <v>25</v>
      </c>
      <c r="B22" s="52" t="s">
        <v>18</v>
      </c>
      <c r="C22" s="138">
        <v>9495.7</v>
      </c>
      <c r="D22" s="139">
        <v>15081.43</v>
      </c>
      <c r="E22" s="140">
        <v>10019.77</v>
      </c>
      <c r="F22" s="140">
        <v>6572.6</v>
      </c>
      <c r="G22" s="66">
        <v>836.88</v>
      </c>
      <c r="H22" s="138">
        <v>2865.04</v>
      </c>
      <c r="I22" s="138">
        <v>8368.88</v>
      </c>
      <c r="J22" s="138">
        <v>9021.49</v>
      </c>
      <c r="K22" s="138">
        <v>7855.9</v>
      </c>
      <c r="L22" s="138">
        <v>7144.23</v>
      </c>
      <c r="M22" s="52" t="s">
        <v>24</v>
      </c>
    </row>
    <row r="23" ht="15.75" customHeight="1">
      <c r="A23" s="52" t="s">
        <v>26</v>
      </c>
      <c r="B23" s="52" t="s">
        <v>18</v>
      </c>
      <c r="C23" s="138">
        <v>7126.15</v>
      </c>
      <c r="D23" s="139">
        <v>6545.02</v>
      </c>
      <c r="E23" s="140">
        <v>4897.96</v>
      </c>
      <c r="F23" s="140">
        <v>4881.74</v>
      </c>
      <c r="G23" s="141">
        <v>3616.72</v>
      </c>
      <c r="H23" s="138">
        <v>15458.99</v>
      </c>
      <c r="I23" s="138">
        <v>10041.0</v>
      </c>
      <c r="J23" s="138">
        <v>8237.97</v>
      </c>
      <c r="K23" s="138">
        <v>8293.92</v>
      </c>
      <c r="L23" s="138">
        <v>6804.81</v>
      </c>
      <c r="M23" s="52" t="s">
        <v>24</v>
      </c>
    </row>
    <row r="24" ht="15.75" customHeight="1">
      <c r="A24" s="52" t="s">
        <v>27</v>
      </c>
      <c r="B24" s="52" t="s">
        <v>18</v>
      </c>
      <c r="C24" s="138">
        <v>10795.56</v>
      </c>
      <c r="D24" s="139">
        <v>7624.52</v>
      </c>
      <c r="E24" s="140">
        <v>6808.47</v>
      </c>
      <c r="F24" s="140">
        <v>5321.77</v>
      </c>
      <c r="G24" s="141">
        <v>3904.55</v>
      </c>
      <c r="H24" s="138">
        <v>3669.51</v>
      </c>
      <c r="I24" s="138">
        <v>2143.27</v>
      </c>
      <c r="J24" s="138">
        <v>3424.06</v>
      </c>
      <c r="K24" s="52">
        <v>-281.2</v>
      </c>
      <c r="L24" s="138">
        <v>1334.95</v>
      </c>
      <c r="M24" s="52" t="s">
        <v>24</v>
      </c>
    </row>
    <row r="25" ht="15.75" customHeight="1">
      <c r="A25" s="206" t="s">
        <v>28</v>
      </c>
      <c r="B25" s="207"/>
      <c r="C25" s="207"/>
      <c r="D25" s="208"/>
      <c r="E25" s="209"/>
      <c r="F25" s="209"/>
      <c r="G25" s="210"/>
      <c r="H25" s="207"/>
      <c r="I25" s="207"/>
      <c r="J25" s="207"/>
      <c r="K25" s="207"/>
      <c r="L25" s="207"/>
      <c r="M25" s="207"/>
    </row>
    <row r="26" ht="15.75" customHeight="1">
      <c r="A26" s="52" t="s">
        <v>29</v>
      </c>
      <c r="B26" s="52" t="s">
        <v>30</v>
      </c>
      <c r="C26" s="52">
        <v>8.3</v>
      </c>
      <c r="D26" s="60">
        <v>5.86</v>
      </c>
      <c r="E26" s="63">
        <v>5.89</v>
      </c>
      <c r="F26" s="63">
        <v>5.18</v>
      </c>
      <c r="G26" s="66">
        <v>3.8</v>
      </c>
      <c r="H26" s="52">
        <v>3.57</v>
      </c>
      <c r="I26" s="52">
        <v>2.08</v>
      </c>
      <c r="J26" s="52">
        <v>3.33</v>
      </c>
      <c r="K26" s="52">
        <v>-0.28</v>
      </c>
      <c r="L26" s="52">
        <v>1.4</v>
      </c>
      <c r="M26" s="52" t="s">
        <v>24</v>
      </c>
    </row>
    <row r="27" ht="15.75" customHeight="1">
      <c r="A27" s="52" t="s">
        <v>31</v>
      </c>
      <c r="B27" s="52" t="s">
        <v>32</v>
      </c>
      <c r="C27" s="152">
        <v>0.01</v>
      </c>
      <c r="D27" s="153">
        <v>0.0085</v>
      </c>
      <c r="E27" s="154">
        <v>0.0089</v>
      </c>
      <c r="F27" s="154">
        <v>0.0079</v>
      </c>
      <c r="G27" s="155">
        <v>0.0065</v>
      </c>
      <c r="H27" s="152">
        <v>0.0065</v>
      </c>
      <c r="I27" s="152">
        <v>0.0045</v>
      </c>
      <c r="J27" s="152">
        <v>0.0084</v>
      </c>
      <c r="K27" s="152">
        <v>-8.0E-4</v>
      </c>
      <c r="L27" s="152">
        <v>0.0042</v>
      </c>
      <c r="M27" s="52" t="s">
        <v>24</v>
      </c>
    </row>
    <row r="28" ht="15.75" customHeight="1">
      <c r="A28" s="52" t="s">
        <v>33</v>
      </c>
      <c r="B28" s="52" t="s">
        <v>32</v>
      </c>
      <c r="C28" s="152">
        <v>0.1551</v>
      </c>
      <c r="D28" s="153">
        <v>0.1457</v>
      </c>
      <c r="E28" s="154">
        <v>0.1526</v>
      </c>
      <c r="F28" s="154">
        <v>0.1253</v>
      </c>
      <c r="G28" s="155">
        <v>0.0982</v>
      </c>
      <c r="H28" s="152">
        <v>0.0946</v>
      </c>
      <c r="I28" s="152">
        <v>0.0751</v>
      </c>
      <c r="J28" s="152">
        <v>0.1251</v>
      </c>
      <c r="K28" s="152">
        <v>-0.0115</v>
      </c>
      <c r="L28" s="152">
        <v>0.0531</v>
      </c>
      <c r="M28" s="52" t="s">
        <v>24</v>
      </c>
    </row>
    <row r="29" ht="15.75" customHeight="1">
      <c r="A29" s="206" t="s">
        <v>34</v>
      </c>
      <c r="B29" s="207"/>
      <c r="C29" s="207"/>
      <c r="D29" s="208"/>
      <c r="E29" s="209"/>
      <c r="F29" s="209"/>
      <c r="G29" s="210"/>
      <c r="H29" s="207"/>
      <c r="I29" s="207"/>
      <c r="J29" s="207"/>
      <c r="K29" s="207"/>
      <c r="L29" s="207"/>
      <c r="M29" s="207"/>
    </row>
    <row r="30" ht="15.75" customHeight="1">
      <c r="A30" s="52" t="s">
        <v>38</v>
      </c>
      <c r="B30" s="52" t="s">
        <v>32</v>
      </c>
      <c r="C30" s="152">
        <v>0.7253</v>
      </c>
      <c r="D30" s="153">
        <v>0.7732</v>
      </c>
      <c r="E30" s="154">
        <v>0.8685</v>
      </c>
      <c r="F30" s="154">
        <v>0.8479</v>
      </c>
      <c r="G30" s="155">
        <v>0.7758</v>
      </c>
      <c r="H30" s="152">
        <v>0.7071</v>
      </c>
      <c r="I30" s="152">
        <v>0.7621</v>
      </c>
      <c r="J30" s="152">
        <v>0.8294</v>
      </c>
      <c r="K30" s="152">
        <v>0.8334</v>
      </c>
      <c r="L30" s="152">
        <v>0.821</v>
      </c>
      <c r="M30" s="52" t="s">
        <v>24</v>
      </c>
    </row>
    <row r="31" ht="15.75" customHeight="1">
      <c r="A31" s="52" t="s">
        <v>35</v>
      </c>
      <c r="B31" s="52" t="s">
        <v>32</v>
      </c>
      <c r="C31" s="152">
        <v>0.022</v>
      </c>
      <c r="D31" s="153">
        <v>0.0436</v>
      </c>
      <c r="E31" s="154">
        <v>0.0286</v>
      </c>
      <c r="F31" s="154">
        <v>0.0262</v>
      </c>
      <c r="G31" s="155">
        <v>0.0305</v>
      </c>
      <c r="H31" s="152">
        <v>0.0273</v>
      </c>
      <c r="I31" s="152">
        <v>0.0438</v>
      </c>
      <c r="J31" s="152">
        <v>0.0546</v>
      </c>
      <c r="K31" s="152">
        <v>0.0868</v>
      </c>
      <c r="L31" s="152">
        <v>0.0538</v>
      </c>
      <c r="M31" s="52" t="s">
        <v>24</v>
      </c>
    </row>
    <row r="32" ht="15.75" customHeight="1">
      <c r="A32" s="52" t="s">
        <v>37</v>
      </c>
      <c r="B32" s="52" t="s">
        <v>32</v>
      </c>
      <c r="C32" s="152">
        <v>1.0</v>
      </c>
      <c r="D32" s="153">
        <v>1.0015</v>
      </c>
      <c r="E32" s="154">
        <v>1.0031</v>
      </c>
      <c r="F32" s="154">
        <v>1.0013</v>
      </c>
      <c r="G32" s="155">
        <v>1.0011</v>
      </c>
      <c r="H32" s="152">
        <v>1.0619</v>
      </c>
      <c r="I32" s="152">
        <v>1.0001</v>
      </c>
      <c r="J32" s="152">
        <v>1.0</v>
      </c>
      <c r="K32" s="152">
        <v>1.0001</v>
      </c>
      <c r="L32" s="152">
        <v>1.0697</v>
      </c>
      <c r="M32" s="52" t="s">
        <v>24</v>
      </c>
    </row>
    <row r="33" ht="15.75" customHeight="1">
      <c r="A33" s="206" t="s">
        <v>39</v>
      </c>
      <c r="B33" s="207"/>
      <c r="C33" s="207"/>
      <c r="D33" s="208"/>
      <c r="E33" s="209"/>
      <c r="F33" s="209"/>
      <c r="G33" s="210"/>
      <c r="H33" s="207"/>
      <c r="I33" s="207"/>
      <c r="J33" s="207"/>
      <c r="K33" s="207"/>
      <c r="L33" s="207"/>
      <c r="M33" s="207"/>
    </row>
    <row r="34" ht="15.75" customHeight="1">
      <c r="A34" s="52" t="s">
        <v>45</v>
      </c>
      <c r="B34" s="52" t="s">
        <v>32</v>
      </c>
      <c r="C34" s="152">
        <v>0.1534</v>
      </c>
      <c r="D34" s="153">
        <v>0.1377</v>
      </c>
      <c r="E34" s="154">
        <v>0.1387</v>
      </c>
      <c r="F34" s="154">
        <v>0.1384</v>
      </c>
      <c r="G34" s="155">
        <v>0.1423</v>
      </c>
      <c r="H34" s="152">
        <v>0.1473</v>
      </c>
      <c r="I34" s="152">
        <v>0.138</v>
      </c>
      <c r="J34" s="152">
        <v>0.1217</v>
      </c>
      <c r="K34" s="152">
        <v>0.1234</v>
      </c>
      <c r="L34" s="152">
        <v>0.1122</v>
      </c>
      <c r="M34" s="52" t="s">
        <v>24</v>
      </c>
    </row>
    <row r="35" ht="15.75" customHeight="1">
      <c r="A35" s="52" t="s">
        <v>46</v>
      </c>
      <c r="B35" s="52" t="s">
        <v>32</v>
      </c>
      <c r="C35" s="152">
        <v>0.4447</v>
      </c>
      <c r="D35" s="153">
        <v>0.4605</v>
      </c>
      <c r="E35" s="154">
        <v>0.4975</v>
      </c>
      <c r="F35" s="154">
        <v>0.55</v>
      </c>
      <c r="G35" s="155">
        <v>0.5308</v>
      </c>
      <c r="H35" s="152">
        <v>0.5427</v>
      </c>
      <c r="I35" s="152">
        <v>0.4863</v>
      </c>
      <c r="J35" s="152">
        <v>0.4868</v>
      </c>
      <c r="K35" s="152">
        <v>0.4948</v>
      </c>
      <c r="L35" s="152">
        <v>0.53</v>
      </c>
      <c r="M35" s="52" t="s">
        <v>24</v>
      </c>
    </row>
    <row r="36" ht="15.75" customHeight="1">
      <c r="A36" s="206" t="s">
        <v>48</v>
      </c>
      <c r="B36" s="207"/>
      <c r="C36" s="207"/>
      <c r="D36" s="208"/>
      <c r="E36" s="209"/>
      <c r="F36" s="209"/>
      <c r="G36" s="210"/>
      <c r="H36" s="207"/>
      <c r="I36" s="207"/>
      <c r="J36" s="207"/>
      <c r="K36" s="207"/>
      <c r="L36" s="207"/>
      <c r="M36" s="207"/>
    </row>
    <row r="37" ht="15.75" customHeight="1">
      <c r="A37" s="52" t="s">
        <v>63</v>
      </c>
      <c r="B37" s="52" t="s">
        <v>18</v>
      </c>
      <c r="C37" s="138">
        <v>15643.59</v>
      </c>
      <c r="D37" s="139">
        <v>27407.76</v>
      </c>
      <c r="E37" s="140">
        <v>15862.02</v>
      </c>
      <c r="F37" s="140">
        <v>12121.23</v>
      </c>
      <c r="G37" s="141">
        <v>11480.11</v>
      </c>
      <c r="H37" s="138">
        <v>8622.01</v>
      </c>
      <c r="I37" s="138">
        <v>12560.6</v>
      </c>
      <c r="J37" s="138">
        <v>14778.27</v>
      </c>
      <c r="K37" s="138">
        <v>20786.94</v>
      </c>
      <c r="L37" s="138">
        <v>10921.46</v>
      </c>
      <c r="M37" s="52" t="s">
        <v>24</v>
      </c>
    </row>
    <row r="38" ht="15.75" customHeight="1">
      <c r="A38" s="52" t="s">
        <v>43</v>
      </c>
      <c r="B38" s="52" t="s">
        <v>32</v>
      </c>
      <c r="C38" s="152">
        <v>0.0133</v>
      </c>
      <c r="D38" s="153">
        <v>0.0279</v>
      </c>
      <c r="E38" s="154">
        <v>0.0195</v>
      </c>
      <c r="F38" s="154">
        <v>0.017</v>
      </c>
      <c r="G38" s="155">
        <v>0.0182</v>
      </c>
      <c r="H38" s="152">
        <v>0.0153</v>
      </c>
      <c r="I38" s="152">
        <v>0.0263</v>
      </c>
      <c r="J38" s="152">
        <v>0.0361</v>
      </c>
      <c r="K38" s="152">
        <v>0.0564</v>
      </c>
      <c r="L38" s="152">
        <v>0.0341</v>
      </c>
      <c r="M38" s="52" t="s">
        <v>24</v>
      </c>
    </row>
    <row r="39" ht="15.75" customHeight="1">
      <c r="A39" s="52" t="s">
        <v>44</v>
      </c>
      <c r="B39" s="52" t="s">
        <v>32</v>
      </c>
      <c r="C39" s="152">
        <v>0.416</v>
      </c>
      <c r="D39" s="153">
        <v>0.1199</v>
      </c>
      <c r="E39" s="154">
        <v>0.2794</v>
      </c>
      <c r="F39" s="154">
        <v>0.363</v>
      </c>
      <c r="G39" s="66" t="s">
        <v>24</v>
      </c>
      <c r="H39" s="152">
        <v>0.7122</v>
      </c>
      <c r="I39" s="152">
        <v>-0.374</v>
      </c>
      <c r="J39" s="52" t="s">
        <v>74</v>
      </c>
      <c r="K39" s="152">
        <v>-1.2107</v>
      </c>
      <c r="L39" s="52" t="s">
        <v>24</v>
      </c>
      <c r="M39" s="52" t="s">
        <v>24</v>
      </c>
    </row>
    <row r="40" ht="15.75" customHeight="1">
      <c r="A40" s="52" t="s">
        <v>53</v>
      </c>
      <c r="B40" s="52" t="s">
        <v>32</v>
      </c>
      <c r="C40" s="152">
        <v>0.3233</v>
      </c>
      <c r="D40" s="153">
        <v>0.123</v>
      </c>
      <c r="E40" s="154">
        <v>0.1026</v>
      </c>
      <c r="F40" s="154">
        <v>0.0769</v>
      </c>
      <c r="G40" s="66" t="s">
        <v>24</v>
      </c>
      <c r="H40" s="152">
        <v>0.2025</v>
      </c>
      <c r="I40" s="152">
        <v>0.1788</v>
      </c>
      <c r="J40" s="152">
        <v>0.1211</v>
      </c>
      <c r="K40" s="152">
        <v>-0.0288</v>
      </c>
      <c r="L40" s="52" t="s">
        <v>24</v>
      </c>
      <c r="M40" s="52" t="s">
        <v>24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B47" s="158"/>
      <c r="C47" s="158"/>
      <c r="D47" s="158"/>
      <c r="E47" s="158"/>
      <c r="F47" s="158"/>
      <c r="H47" s="158"/>
      <c r="I47" s="158"/>
      <c r="J47" s="158"/>
      <c r="K47" s="158"/>
      <c r="L47" s="158"/>
    </row>
    <row r="48" ht="15.75" customHeight="1">
      <c r="B48" s="158"/>
      <c r="C48" s="158"/>
      <c r="D48" s="158"/>
      <c r="E48" s="158"/>
      <c r="F48" s="158"/>
      <c r="H48" s="158"/>
      <c r="I48" s="158"/>
      <c r="J48" s="158"/>
      <c r="K48" s="158"/>
      <c r="L48" s="158"/>
    </row>
    <row r="49" ht="15.75" customHeight="1">
      <c r="B49" s="158"/>
      <c r="C49" s="158"/>
      <c r="D49" s="158"/>
      <c r="E49" s="158"/>
      <c r="F49" s="158"/>
      <c r="H49" s="158"/>
      <c r="I49" s="158"/>
      <c r="J49" s="158"/>
      <c r="K49" s="158"/>
      <c r="L49" s="158"/>
    </row>
    <row r="50" ht="15.75" customHeight="1">
      <c r="B50" s="158"/>
      <c r="C50" s="158"/>
      <c r="D50" s="158"/>
      <c r="E50" s="158"/>
      <c r="F50" s="158"/>
      <c r="H50" s="158"/>
      <c r="I50" s="158"/>
      <c r="J50" s="158"/>
      <c r="K50" s="158"/>
      <c r="L50" s="158"/>
    </row>
    <row r="51" ht="15.75" customHeight="1"/>
    <row r="52" ht="15.75" customHeight="1">
      <c r="B52" s="158"/>
      <c r="C52" s="158"/>
      <c r="D52" s="158"/>
      <c r="E52" s="158"/>
      <c r="H52" s="158"/>
      <c r="I52" s="158"/>
      <c r="J52" s="158"/>
      <c r="K52" s="158"/>
      <c r="L52" s="158"/>
    </row>
    <row r="53" ht="15.75" customHeight="1">
      <c r="B53" s="158"/>
      <c r="C53" s="158"/>
      <c r="D53" s="158"/>
      <c r="E53" s="158"/>
      <c r="F53" s="158"/>
      <c r="H53" s="158"/>
      <c r="I53" s="158"/>
      <c r="J53" s="158"/>
      <c r="K53" s="158"/>
      <c r="L53" s="158"/>
    </row>
    <row r="54" ht="15.75" customHeight="1">
      <c r="B54" s="158"/>
      <c r="C54" s="158"/>
      <c r="D54" s="158"/>
      <c r="E54" s="158"/>
      <c r="F54" s="158"/>
      <c r="H54" s="158"/>
      <c r="I54" s="158"/>
      <c r="J54" s="158"/>
      <c r="L54" s="158"/>
    </row>
    <row r="55" ht="15.75" customHeight="1"/>
    <row r="56" ht="15.75" customHeight="1"/>
    <row r="57" ht="15.75" customHeight="1">
      <c r="B57" s="101"/>
      <c r="C57" s="101"/>
      <c r="D57" s="101"/>
      <c r="E57" s="101"/>
      <c r="F57" s="101"/>
      <c r="H57" s="101"/>
      <c r="I57" s="101"/>
      <c r="J57" s="101"/>
      <c r="K57" s="101"/>
      <c r="L57" s="101"/>
    </row>
    <row r="58" ht="15.75" customHeight="1">
      <c r="B58" s="101"/>
      <c r="C58" s="101"/>
      <c r="D58" s="101"/>
      <c r="E58" s="101"/>
      <c r="F58" s="101"/>
      <c r="H58" s="101"/>
      <c r="I58" s="101"/>
      <c r="J58" s="101"/>
      <c r="K58" s="101"/>
      <c r="L58" s="101"/>
    </row>
    <row r="59" ht="15.75" customHeight="1"/>
    <row r="60" ht="15.75" customHeight="1">
      <c r="B60" s="101"/>
      <c r="C60" s="101"/>
      <c r="D60" s="101"/>
      <c r="E60" s="101"/>
      <c r="F60" s="101"/>
      <c r="H60" s="101"/>
      <c r="I60" s="101"/>
      <c r="J60" s="101"/>
      <c r="K60" s="101"/>
      <c r="L60" s="101"/>
    </row>
    <row r="61" ht="15.75" customHeight="1">
      <c r="B61" s="101"/>
      <c r="C61" s="101"/>
      <c r="D61" s="101"/>
      <c r="E61" s="101"/>
      <c r="F61" s="101"/>
      <c r="H61" s="101"/>
      <c r="I61" s="101"/>
      <c r="J61" s="101"/>
      <c r="K61" s="101"/>
      <c r="L61" s="101"/>
    </row>
    <row r="62" ht="15.75" customHeight="1">
      <c r="B62" s="101"/>
      <c r="C62" s="101"/>
      <c r="D62" s="101"/>
      <c r="E62" s="101"/>
      <c r="F62" s="101"/>
      <c r="H62" s="101"/>
      <c r="I62" s="101"/>
      <c r="J62" s="101"/>
      <c r="K62" s="101"/>
      <c r="L62" s="101"/>
    </row>
    <row r="63" ht="15.75" customHeight="1"/>
    <row r="64" ht="15.75" customHeight="1">
      <c r="B64" s="101"/>
      <c r="C64" s="101"/>
      <c r="D64" s="101"/>
      <c r="E64" s="101"/>
      <c r="F64" s="101"/>
      <c r="H64" s="101"/>
      <c r="I64" s="101"/>
      <c r="J64" s="101"/>
      <c r="K64" s="101"/>
      <c r="L64" s="101"/>
    </row>
    <row r="65" ht="15.75" customHeight="1">
      <c r="B65" s="101"/>
      <c r="C65" s="101"/>
      <c r="D65" s="101"/>
      <c r="E65" s="101"/>
      <c r="F65" s="101"/>
      <c r="H65" s="101"/>
      <c r="I65" s="101"/>
      <c r="J65" s="101"/>
      <c r="K65" s="101"/>
      <c r="L65" s="101"/>
    </row>
    <row r="66" ht="15.75" customHeight="1"/>
    <row r="67" ht="15.75" customHeight="1">
      <c r="B67" s="158"/>
      <c r="C67" s="158"/>
      <c r="D67" s="158"/>
      <c r="E67" s="158"/>
      <c r="F67" s="158"/>
      <c r="H67" s="158"/>
      <c r="I67" s="158"/>
      <c r="J67" s="158"/>
      <c r="K67" s="158"/>
      <c r="L67" s="158"/>
    </row>
    <row r="68" ht="15.75" customHeight="1">
      <c r="B68" s="101"/>
      <c r="C68" s="101"/>
      <c r="D68" s="101"/>
      <c r="E68" s="101"/>
      <c r="F68" s="101"/>
      <c r="H68" s="101"/>
      <c r="I68" s="101"/>
      <c r="J68" s="101"/>
      <c r="K68" s="101"/>
      <c r="L68" s="101"/>
    </row>
    <row r="69" ht="15.75" customHeight="1">
      <c r="B69" s="101"/>
      <c r="C69" s="101"/>
      <c r="D69" s="101"/>
      <c r="E69" s="101"/>
      <c r="H69" s="101"/>
      <c r="I69" s="101"/>
      <c r="K69" s="101"/>
    </row>
    <row r="70" ht="15.75" customHeight="1">
      <c r="B70" s="101"/>
      <c r="C70" s="101"/>
      <c r="D70" s="101"/>
      <c r="E70" s="101"/>
      <c r="H70" s="101"/>
      <c r="I70" s="101"/>
      <c r="J70" s="101"/>
      <c r="K70" s="10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9:G9"/>
    <mergeCell ref="B10:G10"/>
    <mergeCell ref="B11:G11"/>
    <mergeCell ref="B12:G12"/>
    <mergeCell ref="B3:F3"/>
    <mergeCell ref="A4:A13"/>
    <mergeCell ref="B4:H4"/>
    <mergeCell ref="B5:G5"/>
    <mergeCell ref="B6:G6"/>
    <mergeCell ref="B7:G7"/>
    <mergeCell ref="B8:G8"/>
    <mergeCell ref="B13:G1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2026-07-25T21:26:49Z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