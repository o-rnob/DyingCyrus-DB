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ali Bank" sheetId="1" r:id="rId4"/>
    <sheet state="visible" name="Janata Bank" sheetId="2" r:id="rId5"/>
    <sheet state="visible" name="BASIC Bank" sheetId="3" r:id="rId6"/>
    <sheet state="visible" name="BDBL" sheetId="4" r:id="rId7"/>
    <sheet state="visible" name="Krishi Bank" sheetId="5" r:id="rId8"/>
    <sheet state="visible" name="Rupali Bank " sheetId="6" r:id="rId9"/>
  </sheets>
  <definedNames/>
  <calcPr/>
  <extLst>
    <ext uri="GoogleSheetsCustomDataVersion2">
      <go:sheetsCustomData xmlns:go="http://customooxmlschemas.google.com/" r:id="rId10" roundtripDataChecksum="wcPr+i4O5T6bWK/Ny12IcLtL37Y+Q3kUco00MXTLXTQ="/>
    </ext>
  </extLst>
</workbook>
</file>

<file path=xl/sharedStrings.xml><?xml version="1.0" encoding="utf-8"?>
<sst xmlns="http://schemas.openxmlformats.org/spreadsheetml/2006/main" count="322" uniqueCount="74">
  <si>
    <t>BASIC Bank PLC — Financial Dataset (1989- 2026)</t>
  </si>
  <si>
    <t>Sonali Bank — Financial Dataset (1972- 2026)</t>
  </si>
  <si>
    <t>Janata Bank PLC — Financial Dataset (1972- 2026)</t>
  </si>
  <si>
    <t>Bangladesh Development Bank PLC (BDBL) — Financial Dataset (2010- 2026)</t>
  </si>
  <si>
    <t>Metric</t>
  </si>
  <si>
    <t>Unit</t>
  </si>
  <si>
    <t>BALANCE SHEET</t>
  </si>
  <si>
    <t>Total Assets</t>
  </si>
  <si>
    <t>Tk mn</t>
  </si>
  <si>
    <t>Loans &amp; Advances, gross</t>
  </si>
  <si>
    <t>Total Deposits</t>
  </si>
  <si>
    <t>Shareholders' Equity</t>
  </si>
  <si>
    <t>INCOME STATEMENT</t>
  </si>
  <si>
    <t>Net Interest Income</t>
  </si>
  <si>
    <t>Non-Interest Income</t>
  </si>
  <si>
    <t>Net Profit After Tax</t>
  </si>
  <si>
    <t>PER-SHARE &amp; PROFITABILITY</t>
  </si>
  <si>
    <t>EPS</t>
  </si>
  <si>
    <t>BDT</t>
  </si>
  <si>
    <t>ROA %</t>
  </si>
  <si>
    <t>%</t>
  </si>
  <si>
    <t>ROE %</t>
  </si>
  <si>
    <t>ASSET QUALITY</t>
  </si>
  <si>
    <t>NPL % (gross)</t>
  </si>
  <si>
    <t>NPL amount</t>
  </si>
  <si>
    <t>Provision Coverage %</t>
  </si>
  <si>
    <t>Loan-Deposit Ratio %</t>
  </si>
  <si>
    <t>CAPITAL &amp; EFFICIENCY</t>
  </si>
  <si>
    <t>Capital Adequacy Ratio %</t>
  </si>
  <si>
    <t>Cost-to-Income Ratio %</t>
  </si>
  <si>
    <t>DERIVED METRICS (formulas)</t>
  </si>
  <si>
    <t>NPL / Total Assets %</t>
  </si>
  <si>
    <t>YoY NPAT growth %</t>
  </si>
  <si>
    <t>YoY Total Assets growth %</t>
  </si>
  <si>
    <t>Sources &amp; notes (Tk crore converted to Tk mn: ×10; blue = hardcoded inputs from reports, black = formulas)</t>
  </si>
  <si>
    <t>2010: Annual Report (AR) 2010 audited FS. 2011–2016: 'Seven Years Performance of BDBL', AR2016 (restated). 2017: AR2020 5-yr table. 2018–2022: AR2022 5-yr table. 2023: AR2023 5-yr table. 2024: 'At a Glance' table in AR2024 (checked to the audited solo FS).</t>
  </si>
  <si>
    <t>Total Assets excludes contra items; Deposits include bills payable; Loans &amp; Advances are gross; NII + Non-Interest Income = Total Operating Income (investment + commission/exchange + other operating income).</t>
  </si>
  <si>
    <t>2012 Equity = Tk 1,569.88 cr (audited solo). AR2012's 3-yr table shows 1,469.88, an apparent typo, not used.</t>
  </si>
  <si>
    <t>2013–2016 are restated figures from AR2016. Original AR2013 differs (operating income 321.09 cr vs 327.09; EPS 25.50–25.93 vs 22.07; cost-to-income 60.97% vs 50.70%).</t>
  </si>
  <si>
    <t>2010 Non-Interest Income (103.79 cr) is from AR2010 (ties to total operating income); AR2012 splits it 86.21 + 20.00 = 106.21.</t>
  </si>
  <si>
    <t>NPL amount = classified loans (excl. staff loans in 5-yr tables); NPL % as reported (2013 rounded as printed). 2016 NPL amount 731.83 cr (AR2020) vs 730.21 cr in AR2016.</t>
  </si>
  <si>
    <t>Provision Coverage = 'Provision Maintained' ÷ classified loans. 2010–16 from AR2016 table; 2017–22 from AR2020/22; 2023–24 from AR2024 (2024 includes a Bangladesh Bank-approved provision deferral; deficit of 18.46 cr vs required).</t>
  </si>
  <si>
    <t>Cost-to-Income is now computed consistently as Administrative &amp; Operating Expenditure ÷ Total Operating Income (formula literals in Tk crore). This is the definition AR2024 uses for 2020–2024 (91.50/74.71/71.69/83.09/82.10%).</t>
  </si>
  <si>
    <t>Previously published ratios used other definitions and are not comparable: 2010–19 reported 55.12/54.92/59.21/50.70/68.61/87.27/89.40/84.97/79.61/86.28%; 2020–23 in AR2022/23: 96.17/98.02/96.97/96.93%.</t>
  </si>
  <si>
    <t>CAR: Basel II 2010–2012, Basel III from 2013; 2023–24 are solo CRAR. 2011 CAR 28.90% per 3-yr table (AR2012 CAR table shows 29.18%). 2013 NPAT 88.30 cr is restated.</t>
  </si>
  <si>
    <t>EPS in Tk. Paid-up capital rose from Tk 400 cr to Tk 600 cr in 2021 (stock dividend).</t>
  </si>
  <si>
    <t>Loan-Deposit Ratio is balance-sheet loans ÷ deposits; very high in 2010–12 (small deposit base) and differs from the bank's reported ADR (168.9%/148.5%/155.1%).</t>
  </si>
  <si>
    <t>2025–2026: no BDBL annual report for these years has been provided, so the columns are left blank.</t>
  </si>
  <si>
    <t>Bangladesh Krishi Bank (BKB) — Financial Dataset (1973- 2026)</t>
  </si>
  <si>
    <t>Rupali Bank PLC — Financial Dataset (1972- 2026)</t>
  </si>
  <si>
    <t>Sources &amp; notes (figures in Tk mn; 1 crore = 10 mn; blue = hardcoded inputs from reports, black = formulas)</t>
  </si>
  <si>
    <t>Bangladesh Krishi Bank (BKB) established 1973 under the Bangladesh Krishi Bank Order 1973 (President’s Order No. 27 of 1973); wholly government-owned specialised agricultural bank, no listed shares (EPS not applicable).</t>
  </si>
  <si>
    <t>Data sourced from BKB’s own audited Auditors’ Reports &amp; Financial Statements for FY2010-11 through FY2024-25 (14 annual reports); each report also carries the prior year as a comparative column, used to cross-check adjoining years for consistency.</t>
  </si>
  <si>
    <t>FY2010–FY2013 use the "Statement of Financial Position" / "Statement of Comprehensive Income" format (pre-BFRS terminology) from the FY2011–FY2013 annual reports. These four years do not disclose a Capital Adequacy Ratio (CAR) as a percentage — only a capital shortfall in Taka (e.g. Tk 6,675.99 crore in FY2013) — so row 24 (CAR) is intentionally left blank for 2010–2013 rather than estimated.</t>
  </si>
  <si>
    <t>Every year FY2014 onward carries a qualified audit opinion, driven mainly by: capital adequacy far below the Basel-III/BASEL-II requirement (CAR worsens from roughly -37% in FY2015 to -133% in FY2025); non-recognition of deferred tax (BAS 12); short/unreconciled provisioning on other assets and branch/inter-branch adjustment accounts; and (in later years) non-charging of interest on government and international borrowings.</t>
  </si>
  <si>
    <t>Non-Interest Income = Income from Investment + Commission, Exchange &amp; Brokerage + Other Receipts (excludes Net Interest Income, which is reported separately on row 11).</t>
  </si>
  <si>
    <t>NPL amount = total classified loans &amp; advances (Sub-Standard + Doubtful + Bad/Loss). Provision Coverage % = provision maintained/held against loans &amp; advances ÷ NPL amount, both as reported in each year’s "Highlights" schedule (FY2010–FY2013) or Note 13.4/7.7 (FY2014 onward).</t>
  </si>
  <si>
    <t>Cost-to-Income Ratio % = Total Operating Expenditure ÷ Total Operating Income (Net Interest Income + Non-Interest Income, Tk mn); this ratio turns highly negative in years where Net Interest Income is deeply negative and dominates Total Operating Income (FY2019–FY2025), which is a mathematically correct but extreme reflection of the bank’s persistently negative net interest margin — not a data error.</t>
  </si>
  <si>
    <t>Minor (&lt;1%) figure differences sometimes appear between a year’s own report and the comparative column shown in the following year’s report (different audit firm pairings restated a few prior-year lines, e.g. FY2012 Net Interest Income and FY2013’s Total Deposits highlight). Where this occurs, the year’s own report is used as the primary source in this sheet.</t>
  </si>
  <si>
    <t>The bank has received repeated government re-capitalisation injections (paid-up capital held at Tk 900 crore; re-capitalisation rising from nil pre-FY2015 to Tk 650 crore by FY2019-20) to partly offset accumulated losses, but capital shortfalls have continued to widen each year through FY2025.</t>
  </si>
  <si>
    <t>No data available for 1973–2009 or 2026; those year columns are intentionally left blank pending further source documents. Derived-metric formulas (rows 16, 17, 22, 27–29) auto-populate for any year once its inputs are added.</t>
  </si>
  <si>
    <t>OTHER METRICS (as reported)</t>
  </si>
  <si>
    <t>Profit Before Tax</t>
  </si>
  <si>
    <t>Provision Maintained (Loans &amp; Advances)</t>
  </si>
  <si>
    <t>Source &amp; notes</t>
  </si>
  <si>
    <t>Units: Tk mn. Annual reports state Tk crore for most years; converted x10. Bank-only (solo) statements, not consolidated. Blue = hardcoded input, black = formula.</t>
  </si>
  <si>
    <t>Sources by year: 1972-1996 AR2013 p.32 (deposits, loans, pre-tax profit); 2008 AR2013 pp.81-82 (rounded); 2009-2013 AR2013 five-year table &amp; ratios (NPL/provision/EPS/2013 statements from AR2014 notes); 2014 AR2014 + AR2016/AR2018 five-year tables.</t>
  </si>
  <si>
    <t>2015 from AR2016 comparatives (AR2015 not supplied - only the AGM notice); 2016 AR2016; 2017 AR2017; 2018 AR2018; 2019-2020 AR2022 five-year table (AR2019/AR2020 not supplied); 2021 AR2022 comparatives; 2022 AR2022; 2023 AR2023; 2024 AR2024; 2025 AR2025.</t>
  </si>
  <si>
    <t>Gaps: 1997-2007 not in the supplied files (continuation of the AR2013 'Some indicators' table is missing from the scan). Net profit after tax exists only from 2009; earlier profit is pre-tax (row 32). EPS not available for 2009-2011, 2019-2020. NPL amount/provision not available for 2009-2011 and 2019 (provision also 2020).</t>
  </si>
  <si>
    <t>Definitions: Loans = gross loans and advances per balance sheet. Non-interest income = investment income + commission, exchange &amp; brokerage + other operating income. Shareholders' equity includes share money deposit. Own-year report used where supplied (e.g. 2023 total assets 793,302 vs 793,508 restated in AR2024).</t>
  </si>
  <si>
    <t>NPL % (row 19) is a formula: NPL amount / gross loans, so it always ties to the audited note. Bank-printed ratios differ in some years (2012: 26.07%, 2013: 17.48%, 2016: 20.64%, 2017: 23.41%, 2018: 19.21% - different denominator) and 2021 (AR2025 shows 18.84%).</t>
  </si>
  <si>
    <t>Provision Coverage % (row 21) = Provision Maintained (row 33, loans &amp; advances, general + specific) / NPL amount. Cost-to-Income and CAR are as reported by the bank; where not printed they are computed from the same report's five-year table (see cell comments).</t>
  </si>
  <si>
    <t>Cost-to-income is above 100% in 2016 (loss year). Net interest income is negative in 2014-2016 and from 2020 onwards (interest paid exceeds interest earned).</t>
  </si>
  <si>
    <t>The older 'Rupali Bank' tab in this workbook shows figures (e.g. 2025 EPS 4.6, CAR 125%, NPL 5.3%) that do not match the audited annual reports; this tab supersedes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</si>
</sst>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19">
    <font>
      <sz val="10.0"/>
      <color rgb="FF000000"/>
      <name val="Arial"/>
      <scheme val="minor"/>
    </font>
    <font>
      <sz val="10.0"/>
      <color rgb="FF000000"/>
      <name val="Arial"/>
    </font>
    <font>
      <b/>
      <sz val="14.0"/>
      <color rgb="FF00873E"/>
      <name val="Arial"/>
    </font>
    <font>
      <b/>
      <sz val="14.0"/>
      <color rgb="FF283897"/>
      <name val="Arial"/>
    </font>
    <font>
      <sz val="11.0"/>
      <color theme="1"/>
      <name val="Calibri"/>
    </font>
    <font>
      <b/>
      <sz val="14.0"/>
      <color rgb="FF009FE3"/>
      <name val="Arial"/>
    </font>
    <font>
      <b/>
      <sz val="14.0"/>
      <color rgb="FF314DB0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sz val="11.0"/>
      <color rgb="FF000000"/>
      <name val="Arial"/>
    </font>
    <font>
      <i/>
      <sz val="11.0"/>
      <color rgb="FFE07B00"/>
      <name val="Arial"/>
    </font>
    <font>
      <b/>
      <sz val="10.0"/>
      <color theme="1"/>
      <name val="Arial"/>
    </font>
    <font>
      <i/>
      <sz val="10.0"/>
      <color theme="1"/>
      <name val="Arial"/>
    </font>
    <font>
      <b/>
      <sz val="14.0"/>
      <color rgb="FF0C7A3D"/>
      <name val="Arial"/>
    </font>
    <font>
      <b/>
      <sz val="14.0"/>
      <color rgb="FFE10600"/>
      <name val="Arial"/>
    </font>
    <font>
      <b/>
      <sz val="11.0"/>
      <color theme="1"/>
      <name val="Arial"/>
    </font>
    <font>
      <i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873E"/>
        <bgColor rgb="FF00873E"/>
      </patternFill>
    </fill>
    <fill>
      <patternFill patternType="solid">
        <fgColor rgb="FF314DB0"/>
        <bgColor rgb="FF314DB0"/>
      </patternFill>
    </fill>
    <fill>
      <patternFill patternType="solid">
        <fgColor rgb="FF283897"/>
        <bgColor rgb="FF283897"/>
      </patternFill>
    </fill>
    <fill>
      <patternFill patternType="solid">
        <fgColor rgb="FF009FE3"/>
        <bgColor rgb="FF009FE3"/>
      </patternFill>
    </fill>
    <fill>
      <patternFill patternType="solid">
        <fgColor rgb="FF0C7A3D"/>
        <bgColor rgb="FF0C7A3D"/>
      </patternFill>
    </fill>
    <fill>
      <patternFill patternType="solid">
        <fgColor rgb="FFE10600"/>
        <bgColor rgb="FFE1060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2" fontId="7" numFmtId="0" xfId="0" applyAlignment="1" applyBorder="1" applyFill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2" fillId="2" fontId="7" numFmtId="0" xfId="0" applyAlignment="1" applyBorder="1" applyFill="1" applyFont="1">
      <alignment horizontal="center" shrinkToFit="0" vertical="bottom" wrapText="0"/>
    </xf>
    <xf borderId="2" fillId="3" fontId="7" numFmtId="0" xfId="0" applyAlignment="1" applyBorder="1" applyFill="1" applyFont="1">
      <alignment horizontal="center"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2" fillId="4" fontId="7" numFmtId="0" xfId="0" applyAlignment="1" applyBorder="1" applyFill="1" applyFont="1">
      <alignment horizontal="center" shrinkToFit="0" vertical="bottom" wrapText="0"/>
    </xf>
    <xf borderId="3" fillId="3" fontId="7" numFmtId="0" xfId="0" applyAlignment="1" applyBorder="1" applyFill="1" applyFont="1">
      <alignment horizontal="center"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3" fillId="4" fontId="7" numFmtId="0" xfId="0" applyAlignment="1" applyBorder="1" applyFill="1" applyFont="1">
      <alignment horizontal="center" shrinkToFit="0" vertical="bottom" wrapText="0"/>
    </xf>
    <xf borderId="2" fillId="5" fontId="7" numFmtId="0" xfId="0" applyAlignment="1" applyBorder="1" applyFill="1" applyFont="1">
      <alignment horizontal="center" shrinkToFit="0" vertical="bottom" wrapText="0"/>
    </xf>
    <xf borderId="3" fillId="2" fontId="7" numFmtId="0" xfId="0" applyAlignment="1" applyBorder="1" applyFill="1" applyFont="1">
      <alignment horizontal="center" shrinkToFit="0" vertical="bottom" wrapText="0"/>
    </xf>
    <xf borderId="3" fillId="5" fontId="7" numFmtId="0" xfId="0" applyAlignment="1" applyBorder="1" applyFill="1" applyFont="1">
      <alignment horizontal="center" shrinkToFit="0" vertical="bottom" wrapText="0"/>
    </xf>
    <xf borderId="4" fillId="3" fontId="7" numFmtId="0" xfId="0" applyAlignment="1" applyBorder="1" applyFill="1" applyFon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2" fillId="3" fontId="4" numFmtId="0" xfId="0" applyAlignment="1" applyBorder="1" applyFill="1" applyFont="1">
      <alignment shrinkToFit="0" vertical="bottom" wrapText="0"/>
    </xf>
    <xf borderId="4" fillId="3" fontId="1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shrinkToFit="0" vertical="bottom" wrapText="0"/>
    </xf>
    <xf borderId="5" fillId="0" fontId="10" numFmtId="3" xfId="0" applyAlignment="1" applyBorder="1" applyFont="1" applyNumberFormat="1">
      <alignment horizontal="right" shrinkToFit="0" vertical="bottom" wrapText="0"/>
    </xf>
    <xf borderId="1" fillId="4" fontId="8" numFmtId="0" xfId="0" applyAlignment="1" applyBorder="1" applyFill="1" applyFon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2" fillId="4" fontId="4" numFmtId="0" xfId="0" applyAlignment="1" applyBorder="1" applyFill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1" fillId="5" fontId="8" numFmtId="0" xfId="0" applyAlignment="1" applyBorder="1" applyFill="1" applyFont="1">
      <alignment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2" fillId="5" fontId="4" numFmtId="0" xfId="0" applyAlignment="1" applyBorder="1" applyFill="1" applyFont="1">
      <alignment shrinkToFit="0" vertical="bottom" wrapText="0"/>
    </xf>
    <xf borderId="5" fillId="0" fontId="10" numFmtId="2" xfId="0" applyAlignment="1" applyBorder="1" applyFont="1" applyNumberFormat="1">
      <alignment horizontal="right" shrinkToFit="0" vertical="bottom" wrapText="0"/>
    </xf>
    <xf borderId="5" fillId="0" fontId="9" numFmtId="3" xfId="0" applyAlignment="1" applyBorder="1" applyFont="1" applyNumberFormat="1">
      <alignment horizontal="right" shrinkToFit="0" vertical="bottom" wrapText="0"/>
    </xf>
    <xf borderId="5" fillId="0" fontId="9" numFmtId="164" xfId="0" applyAlignment="1" applyBorder="1" applyFont="1" applyNumberFormat="1">
      <alignment horizontal="right" shrinkToFit="0" vertical="bottom" wrapText="0"/>
    </xf>
    <xf borderId="5" fillId="0" fontId="11" numFmtId="165" xfId="0" applyAlignment="1" applyBorder="1" applyFont="1" applyNumberFormat="1">
      <alignment horizontal="right" shrinkToFit="0" vertical="bottom" wrapText="0"/>
    </xf>
    <xf borderId="5" fillId="0" fontId="12" numFmtId="3" xfId="0" applyAlignment="1" applyBorder="1" applyFont="1" applyNumberFormat="1">
      <alignment horizontal="right" shrinkToFit="0" vertical="bottom" wrapText="0"/>
    </xf>
    <xf borderId="5" fillId="0" fontId="10" numFmtId="165" xfId="0" applyAlignment="1" applyBorder="1" applyFont="1" applyNumberFormat="1">
      <alignment horizontal="right" shrinkToFit="0" vertical="bottom" wrapText="0"/>
    </xf>
    <xf borderId="5" fillId="0" fontId="10" numFmtId="164" xfId="0" applyAlignment="1" applyBorder="1" applyFont="1" applyNumberFormat="1">
      <alignment horizontal="right" shrinkToFit="0" vertical="bottom" wrapText="0"/>
    </xf>
    <xf borderId="5" fillId="0" fontId="11" numFmtId="164" xfId="0" applyAlignment="1" applyBorder="1" applyFont="1" applyNumberFormat="1">
      <alignment horizontal="right" shrinkToFit="0" vertical="bottom" wrapText="0"/>
    </xf>
    <xf borderId="5" fillId="0" fontId="9" numFmtId="165" xfId="0" applyAlignment="1" applyBorder="1" applyFont="1" applyNumberFormat="1">
      <alignment horizontal="right" shrinkToFit="0" vertical="bottom" wrapText="0"/>
    </xf>
    <xf borderId="4" fillId="3" fontId="8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2" fillId="6" fontId="7" numFmtId="0" xfId="0" applyAlignment="1" applyBorder="1" applyFill="1" applyFont="1">
      <alignment horizontal="center" shrinkToFit="0" vertical="bottom" wrapText="0"/>
    </xf>
    <xf borderId="0" fillId="0" fontId="16" numFmtId="0" xfId="0" applyAlignment="1" applyFont="1">
      <alignment shrinkToFit="0" vertical="bottom" wrapText="0"/>
    </xf>
    <xf borderId="1" fillId="6" fontId="8" numFmtId="0" xfId="0" applyAlignment="1" applyBorder="1" applyFill="1" applyFont="1">
      <alignment shrinkToFit="0" vertical="bottom" wrapText="0"/>
    </xf>
    <xf borderId="1" fillId="6" fontId="9" numFmtId="0" xfId="0" applyAlignment="1" applyBorder="1" applyFill="1" applyFont="1">
      <alignment shrinkToFit="0" vertical="bottom" wrapText="0"/>
    </xf>
    <xf borderId="5" fillId="0" fontId="9" numFmtId="3" xfId="0" applyAlignment="1" applyBorder="1" applyFont="1" applyNumberFormat="1">
      <alignment shrinkToFit="0" vertical="bottom" wrapText="0"/>
    </xf>
    <xf borderId="1" fillId="7" fontId="7" numFmtId="0" xfId="0" applyAlignment="1" applyBorder="1" applyFill="1" applyFont="1">
      <alignment shrinkToFit="0" vertical="bottom" wrapText="0"/>
    </xf>
    <xf borderId="2" fillId="7" fontId="7" numFmtId="0" xfId="0" applyAlignment="1" applyBorder="1" applyFill="1" applyFont="1">
      <alignment horizontal="center" shrinkToFit="0" vertical="bottom" wrapText="0"/>
    </xf>
    <xf borderId="3" fillId="7" fontId="7" numFmtId="0" xfId="0" applyAlignment="1" applyBorder="1" applyFill="1" applyFont="1">
      <alignment horizontal="center" shrinkToFit="0" vertical="bottom" wrapText="0"/>
    </xf>
    <xf borderId="5" fillId="0" fontId="9" numFmtId="4" xfId="0" applyAlignment="1" applyBorder="1" applyFont="1" applyNumberFormat="1">
      <alignment shrinkToFit="0" vertical="bottom" wrapText="0"/>
    </xf>
    <xf borderId="5" fillId="0" fontId="9" numFmtId="165" xfId="0" applyAlignment="1" applyBorder="1" applyFont="1" applyNumberFormat="1">
      <alignment shrinkToFit="0" vertical="bottom" wrapText="0"/>
    </xf>
    <xf borderId="1" fillId="7" fontId="8" numFmtId="0" xfId="0" applyAlignment="1" applyBorder="1" applyFill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2" fillId="7" fontId="4" numFmtId="0" xfId="0" applyAlignment="1" applyBorder="1" applyFill="1" applyFont="1">
      <alignment shrinkToFit="0" vertical="bottom" wrapText="0"/>
    </xf>
    <xf borderId="0" fillId="0" fontId="9" numFmtId="165" xfId="0" applyAlignment="1" applyFont="1" applyNumberFormat="1">
      <alignment horizontal="right"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0550" cy="466725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4667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0150" cy="466725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14350" cy="466725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66725" cy="466725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333625" cy="466725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88"/>
    <col customWidth="1" min="2" max="6" width="12.63"/>
  </cols>
  <sheetData>
    <row r="1" ht="47.25" customHeight="1">
      <c r="A1" s="1"/>
    </row>
    <row r="2" ht="17.25" customHeight="1">
      <c r="A2" s="3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ht="15.75" customHeight="1">
      <c r="A4" s="11" t="s">
        <v>4</v>
      </c>
      <c r="B4" s="11" t="s">
        <v>5</v>
      </c>
      <c r="C4" s="12">
        <v>1972.0</v>
      </c>
      <c r="D4" s="15">
        <f t="shared" ref="D4:BE4" si="1">C4+1</f>
        <v>1973</v>
      </c>
      <c r="E4" s="15">
        <f t="shared" si="1"/>
        <v>1974</v>
      </c>
      <c r="F4" s="15">
        <f t="shared" si="1"/>
        <v>1975</v>
      </c>
      <c r="G4" s="15">
        <f t="shared" si="1"/>
        <v>1976</v>
      </c>
      <c r="H4" s="15">
        <f t="shared" si="1"/>
        <v>1977</v>
      </c>
      <c r="I4" s="15">
        <f t="shared" si="1"/>
        <v>1978</v>
      </c>
      <c r="J4" s="15">
        <f t="shared" si="1"/>
        <v>1979</v>
      </c>
      <c r="K4" s="15">
        <f t="shared" si="1"/>
        <v>1980</v>
      </c>
      <c r="L4" s="15">
        <f t="shared" si="1"/>
        <v>1981</v>
      </c>
      <c r="M4" s="15">
        <f t="shared" si="1"/>
        <v>1982</v>
      </c>
      <c r="N4" s="15">
        <f t="shared" si="1"/>
        <v>1983</v>
      </c>
      <c r="O4" s="15">
        <f t="shared" si="1"/>
        <v>1984</v>
      </c>
      <c r="P4" s="15">
        <f t="shared" si="1"/>
        <v>1985</v>
      </c>
      <c r="Q4" s="15">
        <f t="shared" si="1"/>
        <v>1986</v>
      </c>
      <c r="R4" s="15">
        <f t="shared" si="1"/>
        <v>1987</v>
      </c>
      <c r="S4" s="15">
        <f t="shared" si="1"/>
        <v>1988</v>
      </c>
      <c r="T4" s="15">
        <f t="shared" si="1"/>
        <v>1989</v>
      </c>
      <c r="U4" s="15">
        <f t="shared" si="1"/>
        <v>1990</v>
      </c>
      <c r="V4" s="15">
        <f t="shared" si="1"/>
        <v>1991</v>
      </c>
      <c r="W4" s="15">
        <f t="shared" si="1"/>
        <v>1992</v>
      </c>
      <c r="X4" s="15">
        <f t="shared" si="1"/>
        <v>1993</v>
      </c>
      <c r="Y4" s="15">
        <f t="shared" si="1"/>
        <v>1994</v>
      </c>
      <c r="Z4" s="15">
        <f t="shared" si="1"/>
        <v>1995</v>
      </c>
      <c r="AA4" s="15">
        <f t="shared" si="1"/>
        <v>1996</v>
      </c>
      <c r="AB4" s="15">
        <f t="shared" si="1"/>
        <v>1997</v>
      </c>
      <c r="AC4" s="15">
        <f t="shared" si="1"/>
        <v>1998</v>
      </c>
      <c r="AD4" s="15">
        <f t="shared" si="1"/>
        <v>1999</v>
      </c>
      <c r="AE4" s="15">
        <f t="shared" si="1"/>
        <v>2000</v>
      </c>
      <c r="AF4" s="15">
        <f t="shared" si="1"/>
        <v>2001</v>
      </c>
      <c r="AG4" s="15">
        <f t="shared" si="1"/>
        <v>2002</v>
      </c>
      <c r="AH4" s="15">
        <f t="shared" si="1"/>
        <v>2003</v>
      </c>
      <c r="AI4" s="15">
        <f t="shared" si="1"/>
        <v>2004</v>
      </c>
      <c r="AJ4" s="15">
        <f t="shared" si="1"/>
        <v>2005</v>
      </c>
      <c r="AK4" s="15">
        <f t="shared" si="1"/>
        <v>2006</v>
      </c>
      <c r="AL4" s="15">
        <f t="shared" si="1"/>
        <v>2007</v>
      </c>
      <c r="AM4" s="15">
        <f t="shared" si="1"/>
        <v>2008</v>
      </c>
      <c r="AN4" s="15">
        <f t="shared" si="1"/>
        <v>2009</v>
      </c>
      <c r="AO4" s="15">
        <f t="shared" si="1"/>
        <v>2010</v>
      </c>
      <c r="AP4" s="15">
        <f t="shared" si="1"/>
        <v>2011</v>
      </c>
      <c r="AQ4" s="15">
        <f t="shared" si="1"/>
        <v>2012</v>
      </c>
      <c r="AR4" s="15">
        <f t="shared" si="1"/>
        <v>2013</v>
      </c>
      <c r="AS4" s="15">
        <f t="shared" si="1"/>
        <v>2014</v>
      </c>
      <c r="AT4" s="15">
        <f t="shared" si="1"/>
        <v>2015</v>
      </c>
      <c r="AU4" s="15">
        <f t="shared" si="1"/>
        <v>2016</v>
      </c>
      <c r="AV4" s="15">
        <f t="shared" si="1"/>
        <v>2017</v>
      </c>
      <c r="AW4" s="15">
        <f t="shared" si="1"/>
        <v>2018</v>
      </c>
      <c r="AX4" s="15">
        <f t="shared" si="1"/>
        <v>2019</v>
      </c>
      <c r="AY4" s="15">
        <f t="shared" si="1"/>
        <v>2020</v>
      </c>
      <c r="AZ4" s="15">
        <f t="shared" si="1"/>
        <v>2021</v>
      </c>
      <c r="BA4" s="15">
        <f t="shared" si="1"/>
        <v>2022</v>
      </c>
      <c r="BB4" s="15">
        <f t="shared" si="1"/>
        <v>2023</v>
      </c>
      <c r="BC4" s="15">
        <f t="shared" si="1"/>
        <v>2024</v>
      </c>
      <c r="BD4" s="15">
        <f t="shared" si="1"/>
        <v>2025</v>
      </c>
      <c r="BE4" s="15">
        <f t="shared" si="1"/>
        <v>2026</v>
      </c>
    </row>
    <row r="5" ht="15.75" customHeight="1">
      <c r="A5" s="26" t="s">
        <v>6</v>
      </c>
      <c r="B5" s="28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</row>
    <row r="6" ht="15.75" customHeight="1">
      <c r="A6" s="24" t="s">
        <v>7</v>
      </c>
      <c r="B6" s="24" t="s">
        <v>8</v>
      </c>
      <c r="C6" s="25">
        <v>23967.9</v>
      </c>
      <c r="D6" s="25"/>
      <c r="E6" s="25">
        <v>4640.7</v>
      </c>
      <c r="F6" s="25">
        <v>7271.2</v>
      </c>
      <c r="G6" s="25">
        <v>6387.2</v>
      </c>
      <c r="H6" s="25">
        <v>8964.9</v>
      </c>
      <c r="I6" s="25">
        <v>11755.2</v>
      </c>
      <c r="J6" s="25">
        <v>17595.4</v>
      </c>
      <c r="K6" s="25"/>
      <c r="L6" s="25">
        <v>24131.1</v>
      </c>
      <c r="M6" s="25">
        <v>31351.4</v>
      </c>
      <c r="N6" s="25">
        <v>34834.7</v>
      </c>
      <c r="O6" s="25">
        <v>43460.8</v>
      </c>
      <c r="P6" s="25">
        <v>52751.2</v>
      </c>
      <c r="Q6" s="25">
        <v>57339.51</v>
      </c>
      <c r="R6" s="25">
        <v>62453.72</v>
      </c>
      <c r="S6" s="25">
        <v>71715.69</v>
      </c>
      <c r="T6" s="25">
        <v>77208.3</v>
      </c>
      <c r="U6" s="25">
        <v>85327.62</v>
      </c>
      <c r="V6" s="25">
        <v>92778.14</v>
      </c>
      <c r="W6" s="25">
        <v>99861.58</v>
      </c>
      <c r="X6" s="25">
        <v>110816.12</v>
      </c>
      <c r="Y6" s="25">
        <v>138706.8</v>
      </c>
      <c r="Z6" s="25">
        <v>156844.18</v>
      </c>
      <c r="AA6" s="25">
        <v>164005.24</v>
      </c>
      <c r="AB6" s="25">
        <v>180681.8</v>
      </c>
      <c r="AC6" s="25">
        <v>198900.22</v>
      </c>
      <c r="AD6" s="25">
        <v>221170.49</v>
      </c>
      <c r="AE6" s="25">
        <v>237680.25</v>
      </c>
      <c r="AF6" s="25">
        <v>254083.65</v>
      </c>
      <c r="AG6" s="25">
        <v>271021.98</v>
      </c>
      <c r="AH6" s="25">
        <v>266851.26</v>
      </c>
      <c r="AI6" s="25">
        <v>292181.57</v>
      </c>
      <c r="AJ6" s="25">
        <v>337687.12</v>
      </c>
      <c r="AK6" s="25">
        <v>352893.82</v>
      </c>
      <c r="AL6" s="25">
        <v>461964.23</v>
      </c>
      <c r="AM6" s="25">
        <v>492946.15</v>
      </c>
      <c r="AN6" s="25">
        <v>543969.27</v>
      </c>
      <c r="AO6" s="25">
        <v>649267.92</v>
      </c>
      <c r="AP6" s="25">
        <v>695192.11</v>
      </c>
      <c r="AQ6" s="25">
        <v>753949.69</v>
      </c>
      <c r="AR6" s="25">
        <v>852223.55</v>
      </c>
      <c r="AS6" s="25">
        <v>934592.0</v>
      </c>
      <c r="AT6" s="25">
        <v>1026109.0</v>
      </c>
      <c r="AU6" s="25">
        <v>1200590.0</v>
      </c>
      <c r="AV6" s="25">
        <v>1256712.0</v>
      </c>
      <c r="AW6" s="25">
        <v>1306842.0</v>
      </c>
      <c r="AX6" s="25">
        <v>1472601.0</v>
      </c>
      <c r="AY6" s="25">
        <v>1591233.0</v>
      </c>
      <c r="AZ6" s="25">
        <v>1706803.0</v>
      </c>
      <c r="BA6" s="25">
        <v>1789772.0</v>
      </c>
      <c r="BB6" s="25">
        <v>1981130.0</v>
      </c>
      <c r="BC6" s="25">
        <v>2262301.0</v>
      </c>
      <c r="BD6" s="36">
        <v>2390982.0</v>
      </c>
      <c r="BE6" s="36"/>
    </row>
    <row r="7" ht="15.75" customHeight="1">
      <c r="A7" s="24" t="s">
        <v>9</v>
      </c>
      <c r="B7" s="24" t="s">
        <v>8</v>
      </c>
      <c r="C7" s="25">
        <v>853.7</v>
      </c>
      <c r="D7" s="25">
        <v>1289.8</v>
      </c>
      <c r="E7" s="25">
        <v>1677.0</v>
      </c>
      <c r="F7" s="25">
        <v>2150.5</v>
      </c>
      <c r="G7" s="25">
        <v>2418.9</v>
      </c>
      <c r="H7" s="25">
        <v>3624.8</v>
      </c>
      <c r="I7" s="25">
        <v>4833.0</v>
      </c>
      <c r="J7" s="25">
        <v>6755.9</v>
      </c>
      <c r="K7" s="25">
        <v>9626.3</v>
      </c>
      <c r="L7" s="25">
        <v>11855.5</v>
      </c>
      <c r="M7" s="25">
        <v>16831.9</v>
      </c>
      <c r="N7" s="25">
        <v>17010.6</v>
      </c>
      <c r="O7" s="25">
        <v>22122.8</v>
      </c>
      <c r="P7" s="25">
        <v>27541.2</v>
      </c>
      <c r="Q7" s="25">
        <v>29271.5</v>
      </c>
      <c r="R7" s="25">
        <v>29807.6</v>
      </c>
      <c r="S7" s="25">
        <v>35277.0</v>
      </c>
      <c r="T7" s="25">
        <v>41867.6</v>
      </c>
      <c r="U7" s="25">
        <v>44310.5</v>
      </c>
      <c r="V7" s="25">
        <v>45217.6</v>
      </c>
      <c r="W7" s="25">
        <v>48693.3</v>
      </c>
      <c r="X7" s="25">
        <v>53630.5</v>
      </c>
      <c r="Y7" s="25">
        <v>53892.9</v>
      </c>
      <c r="Z7" s="25">
        <v>65829.9</v>
      </c>
      <c r="AA7" s="25">
        <v>76116.2</v>
      </c>
      <c r="AB7" s="25">
        <v>85451.4</v>
      </c>
      <c r="AC7" s="25">
        <v>94441.3</v>
      </c>
      <c r="AD7" s="25">
        <v>123562.9</v>
      </c>
      <c r="AE7" s="25">
        <v>133280.65</v>
      </c>
      <c r="AF7" s="25">
        <v>141993.25</v>
      </c>
      <c r="AG7" s="25">
        <v>156112.68</v>
      </c>
      <c r="AH7" s="25">
        <v>155197.0</v>
      </c>
      <c r="AI7" s="25">
        <v>168283.03</v>
      </c>
      <c r="AJ7" s="25">
        <v>227009.62</v>
      </c>
      <c r="AK7" s="25">
        <v>241029.27</v>
      </c>
      <c r="AL7" s="25">
        <v>206347.59</v>
      </c>
      <c r="AM7" s="25">
        <v>231166.58</v>
      </c>
      <c r="AN7" s="25">
        <v>254022.5</v>
      </c>
      <c r="AO7" s="25">
        <v>286098.07</v>
      </c>
      <c r="AP7" s="25">
        <v>345991.35</v>
      </c>
      <c r="AQ7" s="25">
        <v>378147.06</v>
      </c>
      <c r="AR7" s="25">
        <v>343450.53</v>
      </c>
      <c r="AS7" s="25">
        <v>337554.0</v>
      </c>
      <c r="AT7" s="25">
        <v>346346.0</v>
      </c>
      <c r="AU7" s="25">
        <v>384538.0</v>
      </c>
      <c r="AV7" s="25">
        <v>423218.0</v>
      </c>
      <c r="AW7" s="25">
        <v>464083.0</v>
      </c>
      <c r="AX7" s="25">
        <v>551026.0</v>
      </c>
      <c r="AY7" s="25">
        <v>586232.0</v>
      </c>
      <c r="AZ7" s="25">
        <v>690596.0</v>
      </c>
      <c r="BA7" s="25">
        <v>846430.0</v>
      </c>
      <c r="BB7" s="25">
        <v>1008053.0</v>
      </c>
      <c r="BC7" s="25">
        <v>991966.0</v>
      </c>
      <c r="BD7" s="36">
        <v>1047243.0</v>
      </c>
      <c r="BE7" s="36"/>
    </row>
    <row r="8" ht="15.75" customHeight="1">
      <c r="A8" s="24" t="s">
        <v>10</v>
      </c>
      <c r="B8" s="24" t="s">
        <v>8</v>
      </c>
      <c r="C8" s="25">
        <v>1679.4</v>
      </c>
      <c r="D8" s="25">
        <v>2102.6</v>
      </c>
      <c r="E8" s="25">
        <v>2239.2</v>
      </c>
      <c r="F8" s="25">
        <v>3329.3</v>
      </c>
      <c r="G8" s="25">
        <v>3844.1</v>
      </c>
      <c r="H8" s="25">
        <v>4661.5</v>
      </c>
      <c r="I8" s="25">
        <v>5995.0</v>
      </c>
      <c r="J8" s="25">
        <v>8387.9</v>
      </c>
      <c r="K8" s="25">
        <v>10966.6</v>
      </c>
      <c r="L8" s="25">
        <v>11926.8</v>
      </c>
      <c r="M8" s="25">
        <v>15960.9</v>
      </c>
      <c r="N8" s="25">
        <v>20496.8</v>
      </c>
      <c r="O8" s="25">
        <v>27031.2</v>
      </c>
      <c r="P8" s="25">
        <v>34576.0</v>
      </c>
      <c r="Q8" s="25">
        <v>35572.3</v>
      </c>
      <c r="R8" s="25">
        <v>39629.2</v>
      </c>
      <c r="S8" s="25">
        <v>45795.4</v>
      </c>
      <c r="T8" s="25">
        <v>52214.3</v>
      </c>
      <c r="U8" s="25">
        <v>57391.8</v>
      </c>
      <c r="V8" s="25">
        <v>68765.8</v>
      </c>
      <c r="W8" s="25">
        <v>76678.4</v>
      </c>
      <c r="X8" s="25">
        <v>84684.6</v>
      </c>
      <c r="Y8" s="25">
        <v>101410.8</v>
      </c>
      <c r="Z8" s="25">
        <v>110832.5</v>
      </c>
      <c r="AA8" s="25">
        <v>123834.5</v>
      </c>
      <c r="AB8" s="25">
        <v>136061.7</v>
      </c>
      <c r="AC8" s="25">
        <v>151706.5</v>
      </c>
      <c r="AD8" s="25">
        <v>169372.7</v>
      </c>
      <c r="AE8" s="25">
        <v>199204.02</v>
      </c>
      <c r="AF8" s="25">
        <v>211882.21</v>
      </c>
      <c r="AG8" s="25">
        <v>218034.45</v>
      </c>
      <c r="AH8" s="25">
        <v>225914.64</v>
      </c>
      <c r="AI8" s="25">
        <v>247155.8</v>
      </c>
      <c r="AJ8" s="25">
        <v>272875.08</v>
      </c>
      <c r="AK8" s="25">
        <v>296565.8</v>
      </c>
      <c r="AL8" s="25">
        <v>328997.21</v>
      </c>
      <c r="AM8" s="25">
        <v>364385.97</v>
      </c>
      <c r="AN8" s="25">
        <v>406151.57</v>
      </c>
      <c r="AO8" s="25">
        <v>478134.08</v>
      </c>
      <c r="AP8" s="25">
        <v>533192.17</v>
      </c>
      <c r="AQ8" s="25">
        <v>599293.7</v>
      </c>
      <c r="AR8" s="25">
        <v>685894.59</v>
      </c>
      <c r="AS8" s="25">
        <v>778043.0</v>
      </c>
      <c r="AT8" s="25">
        <v>866012.0</v>
      </c>
      <c r="AU8" s="25">
        <v>1031608.0</v>
      </c>
      <c r="AV8" s="25">
        <v>1064311.0</v>
      </c>
      <c r="AW8" s="25">
        <v>1093866.0</v>
      </c>
      <c r="AX8" s="25">
        <v>1158788.0</v>
      </c>
      <c r="AY8" s="25">
        <v>1258786.0</v>
      </c>
      <c r="AZ8" s="25">
        <v>1350815.0</v>
      </c>
      <c r="BA8" s="25">
        <v>1420362.0</v>
      </c>
      <c r="BB8" s="25">
        <v>1506184.0</v>
      </c>
      <c r="BC8" s="25">
        <v>1650201.0</v>
      </c>
      <c r="BD8" s="36">
        <v>1796215.0</v>
      </c>
      <c r="BE8" s="36"/>
    </row>
    <row r="9" ht="15.75" customHeight="1">
      <c r="A9" s="24" t="s">
        <v>11</v>
      </c>
      <c r="B9" s="24" t="s">
        <v>8</v>
      </c>
      <c r="C9" s="25">
        <v>20.0</v>
      </c>
      <c r="D9" s="25">
        <v>30.9</v>
      </c>
      <c r="E9" s="25">
        <v>38.8</v>
      </c>
      <c r="F9" s="25">
        <v>63.9</v>
      </c>
      <c r="G9" s="25">
        <v>74.2</v>
      </c>
      <c r="H9" s="25">
        <v>76.7</v>
      </c>
      <c r="I9" s="25">
        <v>80.0</v>
      </c>
      <c r="J9" s="25">
        <v>90.0</v>
      </c>
      <c r="K9" s="25">
        <v>95.0</v>
      </c>
      <c r="L9" s="25">
        <v>100.0</v>
      </c>
      <c r="M9" s="25">
        <v>127.0</v>
      </c>
      <c r="N9" s="25">
        <v>187.0</v>
      </c>
      <c r="O9" s="25">
        <v>247.4</v>
      </c>
      <c r="P9" s="25">
        <v>277.4</v>
      </c>
      <c r="Q9" s="25">
        <v>277.4</v>
      </c>
      <c r="R9" s="25">
        <v>294.1</v>
      </c>
      <c r="S9" s="25">
        <v>309.1</v>
      </c>
      <c r="T9" s="25">
        <v>329.1</v>
      </c>
      <c r="U9" s="25">
        <v>2752.4</v>
      </c>
      <c r="V9" s="25">
        <v>2767.1</v>
      </c>
      <c r="W9" s="25">
        <v>2811.1</v>
      </c>
      <c r="X9" s="25">
        <v>3675.4</v>
      </c>
      <c r="Y9" s="25">
        <v>4165.4</v>
      </c>
      <c r="Z9" s="25">
        <v>4775.4</v>
      </c>
      <c r="AA9" s="25">
        <v>5015.4</v>
      </c>
      <c r="AB9" s="25">
        <v>5138.5</v>
      </c>
      <c r="AC9" s="25">
        <v>5211.0</v>
      </c>
      <c r="AD9" s="25">
        <v>5308.2</v>
      </c>
      <c r="AE9" s="25">
        <v>5642.2</v>
      </c>
      <c r="AF9" s="25">
        <v>5706.2</v>
      </c>
      <c r="AG9" s="25">
        <v>5856.2</v>
      </c>
      <c r="AH9" s="25">
        <v>5956.2</v>
      </c>
      <c r="AI9" s="25">
        <v>6106.2</v>
      </c>
      <c r="AJ9" s="25">
        <v>6306.2</v>
      </c>
      <c r="AK9" s="25">
        <v>-28444.37</v>
      </c>
      <c r="AL9" s="25">
        <v>21741.73</v>
      </c>
      <c r="AM9" s="25">
        <v>24417.71</v>
      </c>
      <c r="AN9" s="25">
        <v>30475.36</v>
      </c>
      <c r="AO9" s="25">
        <v>45773.86</v>
      </c>
      <c r="AP9" s="25">
        <v>56092.3</v>
      </c>
      <c r="AQ9" s="25">
        <v>22390.0</v>
      </c>
      <c r="AR9" s="25">
        <v>50008.69</v>
      </c>
      <c r="AS9" s="25">
        <v>59579.0</v>
      </c>
      <c r="AT9" s="25">
        <v>71573.0</v>
      </c>
      <c r="AU9" s="25">
        <v>67375.0</v>
      </c>
      <c r="AV9" s="25">
        <v>66087.0</v>
      </c>
      <c r="AW9" s="25">
        <v>70137.0</v>
      </c>
      <c r="AX9" s="25">
        <v>68193.0</v>
      </c>
      <c r="AY9" s="25">
        <v>85616.0</v>
      </c>
      <c r="AZ9" s="25">
        <v>76742.0</v>
      </c>
      <c r="BA9" s="25">
        <v>81191.0</v>
      </c>
      <c r="BB9" s="25">
        <v>86559.0</v>
      </c>
      <c r="BC9" s="25">
        <v>108900.0</v>
      </c>
      <c r="BD9" s="36">
        <v>123336.0</v>
      </c>
      <c r="BE9" s="36"/>
    </row>
    <row r="10" ht="15.75" customHeight="1">
      <c r="A10" s="26" t="s">
        <v>12</v>
      </c>
      <c r="B10" s="28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</row>
    <row r="11" ht="15.75" customHeight="1">
      <c r="A11" s="24" t="s">
        <v>13</v>
      </c>
      <c r="B11" s="24" t="s">
        <v>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>
        <v>1129.87</v>
      </c>
      <c r="R11" s="25">
        <v>829.98</v>
      </c>
      <c r="S11" s="25">
        <v>866.46</v>
      </c>
      <c r="T11" s="25">
        <v>958.21</v>
      </c>
      <c r="U11" s="25">
        <v>-3717.88</v>
      </c>
      <c r="V11" s="25">
        <v>1133.59</v>
      </c>
      <c r="W11" s="25">
        <v>1197.71</v>
      </c>
      <c r="X11" s="25">
        <v>1261.67</v>
      </c>
      <c r="Y11" s="25">
        <v>1223.61</v>
      </c>
      <c r="Z11" s="25">
        <v>1515.13</v>
      </c>
      <c r="AA11" s="25">
        <v>1404.1</v>
      </c>
      <c r="AB11" s="25">
        <v>1039.42</v>
      </c>
      <c r="AC11" s="25">
        <v>798.41</v>
      </c>
      <c r="AD11" s="25">
        <v>954.13</v>
      </c>
      <c r="AE11" s="25">
        <v>-929.74</v>
      </c>
      <c r="AF11" s="25">
        <v>-1400.46</v>
      </c>
      <c r="AG11" s="25">
        <v>-2049.58</v>
      </c>
      <c r="AH11" s="25">
        <v>-1316.32</v>
      </c>
      <c r="AI11" s="25">
        <v>-1502.75</v>
      </c>
      <c r="AJ11" s="25">
        <v>555.38</v>
      </c>
      <c r="AK11" s="25">
        <v>923.46</v>
      </c>
      <c r="AL11" s="25">
        <v>2336.7</v>
      </c>
      <c r="AM11" s="25">
        <v>-864.07</v>
      </c>
      <c r="AN11" s="25">
        <v>1883.08</v>
      </c>
      <c r="AO11" s="25">
        <v>3709.61</v>
      </c>
      <c r="AP11" s="25">
        <v>5499.76</v>
      </c>
      <c r="AQ11" s="25">
        <v>-2265.16</v>
      </c>
      <c r="AR11" s="25">
        <v>-10994.74</v>
      </c>
      <c r="AS11" s="25">
        <v>-13380.0</v>
      </c>
      <c r="AT11" s="25">
        <v>-14386.0</v>
      </c>
      <c r="AU11" s="25">
        <v>-16343.0</v>
      </c>
      <c r="AV11" s="25">
        <v>-15226.0</v>
      </c>
      <c r="AW11" s="25">
        <v>-6293.0</v>
      </c>
      <c r="AX11" s="25">
        <v>-4128.0</v>
      </c>
      <c r="AY11" s="25">
        <v>-10240.0</v>
      </c>
      <c r="AZ11" s="25">
        <v>-9792.0</v>
      </c>
      <c r="BA11" s="25">
        <v>2089.0</v>
      </c>
      <c r="BB11" s="25">
        <v>4759.0</v>
      </c>
      <c r="BC11" s="25">
        <v>13450.0</v>
      </c>
      <c r="BD11" s="36">
        <v>1985.0</v>
      </c>
      <c r="BE11" s="36"/>
    </row>
    <row r="12" ht="15.75" customHeight="1">
      <c r="A12" s="24" t="s">
        <v>14</v>
      </c>
      <c r="B12" s="24" t="s">
        <v>8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>
        <v>288.11</v>
      </c>
      <c r="R12" s="25">
        <v>419.5</v>
      </c>
      <c r="S12" s="25">
        <v>435.81</v>
      </c>
      <c r="T12" s="25">
        <v>365.03</v>
      </c>
      <c r="U12" s="25">
        <v>5100.68</v>
      </c>
      <c r="V12" s="25">
        <v>434.09</v>
      </c>
      <c r="W12" s="25">
        <v>560.23</v>
      </c>
      <c r="X12" s="25">
        <v>703.4</v>
      </c>
      <c r="Y12" s="25">
        <v>1535.69</v>
      </c>
      <c r="Z12" s="25">
        <v>1593.05</v>
      </c>
      <c r="AA12" s="25">
        <v>1400.47</v>
      </c>
      <c r="AB12" s="25">
        <v>1668.1</v>
      </c>
      <c r="AC12" s="25">
        <v>2171.91</v>
      </c>
      <c r="AD12" s="25">
        <v>2424.78</v>
      </c>
      <c r="AE12" s="25">
        <v>5077.07</v>
      </c>
      <c r="AF12" s="25">
        <v>5324.9</v>
      </c>
      <c r="AG12" s="25">
        <v>6570.87</v>
      </c>
      <c r="AH12" s="25">
        <v>5661.34</v>
      </c>
      <c r="AI12" s="25">
        <v>6472.98</v>
      </c>
      <c r="AJ12" s="25">
        <v>7895.41</v>
      </c>
      <c r="AK12" s="25">
        <v>7168.81</v>
      </c>
      <c r="AL12" s="25">
        <v>5328.16</v>
      </c>
      <c r="AM12" s="25">
        <v>13519.2</v>
      </c>
      <c r="AN12" s="25">
        <v>14882.84</v>
      </c>
      <c r="AO12" s="25">
        <v>16878.74</v>
      </c>
      <c r="AP12" s="25">
        <v>17908.9</v>
      </c>
      <c r="AQ12" s="25">
        <v>24660.25</v>
      </c>
      <c r="AR12" s="25">
        <v>25916.91</v>
      </c>
      <c r="AS12" s="25">
        <v>34837.0</v>
      </c>
      <c r="AT12" s="25">
        <v>37089.0</v>
      </c>
      <c r="AU12" s="25">
        <v>39969.0</v>
      </c>
      <c r="AV12" s="25">
        <v>46679.0</v>
      </c>
      <c r="AW12" s="25">
        <v>45613.0</v>
      </c>
      <c r="AX12" s="25">
        <v>40855.0</v>
      </c>
      <c r="AY12" s="25">
        <v>53114.0</v>
      </c>
      <c r="AZ12" s="25">
        <v>52181.0</v>
      </c>
      <c r="BA12" s="25">
        <v>48382.0</v>
      </c>
      <c r="BB12" s="25">
        <v>62880.0</v>
      </c>
      <c r="BC12" s="25">
        <v>77660.0</v>
      </c>
      <c r="BD12" s="36">
        <v>112179.0</v>
      </c>
      <c r="BE12" s="36"/>
    </row>
    <row r="13" ht="15.75" customHeight="1">
      <c r="A13" s="24" t="s">
        <v>15</v>
      </c>
      <c r="B13" s="24" t="s">
        <v>8</v>
      </c>
      <c r="C13" s="25">
        <v>2.4</v>
      </c>
      <c r="D13" s="25">
        <v>20.8</v>
      </c>
      <c r="E13" s="25">
        <v>31.2</v>
      </c>
      <c r="F13" s="25">
        <v>80.9</v>
      </c>
      <c r="G13" s="25">
        <v>91.1</v>
      </c>
      <c r="H13" s="25">
        <v>97.8</v>
      </c>
      <c r="I13" s="25">
        <v>63.9</v>
      </c>
      <c r="J13" s="25">
        <v>96.2</v>
      </c>
      <c r="K13" s="25">
        <v>177.2</v>
      </c>
      <c r="L13" s="25">
        <v>231.7</v>
      </c>
      <c r="M13" s="39">
        <v>481.0</v>
      </c>
      <c r="N13" s="39">
        <v>504.5</v>
      </c>
      <c r="O13" s="25">
        <v>552.3</v>
      </c>
      <c r="P13" s="25">
        <v>499.1</v>
      </c>
      <c r="Q13" s="25">
        <v>100.0</v>
      </c>
      <c r="R13" s="25">
        <v>1.62</v>
      </c>
      <c r="S13" s="25">
        <v>15.0</v>
      </c>
      <c r="T13" s="25">
        <v>42.36</v>
      </c>
      <c r="U13" s="25">
        <v>51.43</v>
      </c>
      <c r="V13" s="25">
        <v>16.9</v>
      </c>
      <c r="W13" s="25">
        <v>44.75</v>
      </c>
      <c r="X13" s="25">
        <v>19.57</v>
      </c>
      <c r="Y13" s="25">
        <v>592.77</v>
      </c>
      <c r="Z13" s="25">
        <v>615.69</v>
      </c>
      <c r="AA13" s="25">
        <v>248.02</v>
      </c>
      <c r="AB13" s="25">
        <v>132.06</v>
      </c>
      <c r="AC13" s="25">
        <v>101.91</v>
      </c>
      <c r="AD13" s="25">
        <v>126.23</v>
      </c>
      <c r="AE13" s="25">
        <v>132.22</v>
      </c>
      <c r="AF13" s="25">
        <v>82.33</v>
      </c>
      <c r="AG13" s="25">
        <v>159.03</v>
      </c>
      <c r="AH13" s="25">
        <v>106.0</v>
      </c>
      <c r="AI13" s="25">
        <v>157.52</v>
      </c>
      <c r="AJ13" s="25">
        <v>208.04</v>
      </c>
      <c r="AK13" s="25">
        <v>-36275.63</v>
      </c>
      <c r="AL13" s="25">
        <v>973.58</v>
      </c>
      <c r="AM13" s="25">
        <v>2311.11</v>
      </c>
      <c r="AN13" s="25">
        <v>1536.77</v>
      </c>
      <c r="AO13" s="25">
        <v>2737.61</v>
      </c>
      <c r="AP13" s="25">
        <v>9957.22</v>
      </c>
      <c r="AQ13" s="25">
        <v>-31533.55</v>
      </c>
      <c r="AR13" s="25">
        <v>3580.18</v>
      </c>
      <c r="AS13" s="25">
        <v>6054.0</v>
      </c>
      <c r="AT13" s="25">
        <v>586.0</v>
      </c>
      <c r="AU13" s="25">
        <v>1516.0</v>
      </c>
      <c r="AV13" s="25">
        <v>7092.0</v>
      </c>
      <c r="AW13" s="25">
        <v>2264.0</v>
      </c>
      <c r="AX13" s="25">
        <v>2710.0</v>
      </c>
      <c r="AY13" s="25">
        <v>3234.0</v>
      </c>
      <c r="AZ13" s="25">
        <v>3456.0</v>
      </c>
      <c r="BA13" s="25">
        <v>3710.0</v>
      </c>
      <c r="BB13" s="25">
        <v>6515.0</v>
      </c>
      <c r="BC13" s="25">
        <v>8655.0</v>
      </c>
      <c r="BD13" s="36">
        <v>12411.0</v>
      </c>
      <c r="BE13" s="36"/>
    </row>
    <row r="14" ht="15.75" customHeight="1">
      <c r="A14" s="26" t="s">
        <v>16</v>
      </c>
      <c r="B14" s="28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</row>
    <row r="15" ht="15.75" customHeight="1">
      <c r="A15" s="24" t="s">
        <v>17</v>
      </c>
      <c r="B15" s="24" t="s">
        <v>18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41">
        <v>10.82</v>
      </c>
      <c r="AM15" s="41">
        <v>25.68</v>
      </c>
      <c r="AN15" s="41">
        <v>17.08</v>
      </c>
      <c r="AO15" s="41">
        <v>30.42</v>
      </c>
      <c r="AP15" s="41">
        <v>108.38</v>
      </c>
      <c r="AQ15" s="41">
        <v>-280.3</v>
      </c>
      <c r="AR15" s="41">
        <v>31.82</v>
      </c>
      <c r="AS15" s="41">
        <v>32.12</v>
      </c>
      <c r="AT15" s="41">
        <v>1.53</v>
      </c>
      <c r="AU15" s="41">
        <v>3.96</v>
      </c>
      <c r="AV15" s="41">
        <v>18.5</v>
      </c>
      <c r="AW15" s="41">
        <v>5.47</v>
      </c>
      <c r="AX15" s="41">
        <v>5.98</v>
      </c>
      <c r="AY15" s="41">
        <v>7.14</v>
      </c>
      <c r="AZ15" s="41">
        <v>7.63</v>
      </c>
      <c r="BA15" s="41">
        <v>8.19</v>
      </c>
      <c r="BB15" s="41">
        <v>14.38</v>
      </c>
      <c r="BC15" s="41">
        <v>19.11</v>
      </c>
      <c r="BD15" s="37">
        <v>27.4</v>
      </c>
      <c r="BE15" s="37"/>
    </row>
    <row r="16" ht="15.75" customHeight="1">
      <c r="A16" s="24" t="s">
        <v>19</v>
      </c>
      <c r="B16" s="24" t="s">
        <v>20</v>
      </c>
      <c r="C16" s="38">
        <f t="shared" ref="C16:BD16" si="2">IFERROR(C13/C6,"")</f>
        <v>0.0001001339291</v>
      </c>
      <c r="D16" s="38" t="str">
        <f t="shared" si="2"/>
        <v/>
      </c>
      <c r="E16" s="38">
        <f t="shared" si="2"/>
        <v>0.006723123667</v>
      </c>
      <c r="F16" s="38">
        <f t="shared" si="2"/>
        <v>0.01112608648</v>
      </c>
      <c r="G16" s="38">
        <f t="shared" si="2"/>
        <v>0.0142629008</v>
      </c>
      <c r="H16" s="38">
        <f t="shared" si="2"/>
        <v>0.0109092126</v>
      </c>
      <c r="I16" s="38">
        <f t="shared" si="2"/>
        <v>0.005435892201</v>
      </c>
      <c r="J16" s="38">
        <f t="shared" si="2"/>
        <v>0.005467338054</v>
      </c>
      <c r="K16" s="38" t="str">
        <f t="shared" si="2"/>
        <v/>
      </c>
      <c r="L16" s="38">
        <f t="shared" si="2"/>
        <v>0.009601717286</v>
      </c>
      <c r="M16" s="42">
        <f t="shared" si="2"/>
        <v>0.01534221757</v>
      </c>
      <c r="N16" s="42">
        <f t="shared" si="2"/>
        <v>0.01448268537</v>
      </c>
      <c r="O16" s="38">
        <f t="shared" si="2"/>
        <v>0.01270800353</v>
      </c>
      <c r="P16" s="38">
        <f t="shared" si="2"/>
        <v>0.009461396139</v>
      </c>
      <c r="Q16" s="38">
        <f t="shared" si="2"/>
        <v>0.001743998161</v>
      </c>
      <c r="R16" s="38">
        <f t="shared" si="2"/>
        <v>0.00002593920746</v>
      </c>
      <c r="S16" s="42">
        <f t="shared" si="2"/>
        <v>0.0002091592509</v>
      </c>
      <c r="T16" s="42">
        <f t="shared" si="2"/>
        <v>0.0005486456767</v>
      </c>
      <c r="U16" s="38">
        <f t="shared" si="2"/>
        <v>0.0006027356675</v>
      </c>
      <c r="V16" s="38">
        <f t="shared" si="2"/>
        <v>0.0001821549775</v>
      </c>
      <c r="W16" s="38">
        <f t="shared" si="2"/>
        <v>0.0004481202881</v>
      </c>
      <c r="X16" s="38">
        <f t="shared" si="2"/>
        <v>0.0001765988558</v>
      </c>
      <c r="Y16" s="38">
        <f t="shared" si="2"/>
        <v>0.004273546791</v>
      </c>
      <c r="Z16" s="38">
        <f t="shared" si="2"/>
        <v>0.003925488341</v>
      </c>
      <c r="AA16" s="38">
        <f t="shared" si="2"/>
        <v>0.001512268754</v>
      </c>
      <c r="AB16" s="38">
        <f t="shared" si="2"/>
        <v>0.0007308981868</v>
      </c>
      <c r="AC16" s="38">
        <f t="shared" si="2"/>
        <v>0.0005123674574</v>
      </c>
      <c r="AD16" s="38">
        <f t="shared" si="2"/>
        <v>0.0005707361773</v>
      </c>
      <c r="AE16" s="38">
        <f t="shared" si="2"/>
        <v>0.0005562935919</v>
      </c>
      <c r="AF16" s="38">
        <f t="shared" si="2"/>
        <v>0.0003240271462</v>
      </c>
      <c r="AG16" s="38">
        <f t="shared" si="2"/>
        <v>0.0005867789764</v>
      </c>
      <c r="AH16" s="38">
        <f t="shared" si="2"/>
        <v>0.0003972250309</v>
      </c>
      <c r="AI16" s="38">
        <f t="shared" si="2"/>
        <v>0.0005391168238</v>
      </c>
      <c r="AJ16" s="38">
        <f t="shared" si="2"/>
        <v>0.0006160732456</v>
      </c>
      <c r="AK16" s="38">
        <f t="shared" si="2"/>
        <v>-0.1027947443</v>
      </c>
      <c r="AL16" s="38">
        <f t="shared" si="2"/>
        <v>0.002107479187</v>
      </c>
      <c r="AM16" s="38">
        <f t="shared" si="2"/>
        <v>0.004688362005</v>
      </c>
      <c r="AN16" s="38">
        <f t="shared" si="2"/>
        <v>0.00282510444</v>
      </c>
      <c r="AO16" s="38">
        <f t="shared" si="2"/>
        <v>0.00421645659</v>
      </c>
      <c r="AP16" s="38">
        <f t="shared" si="2"/>
        <v>0.01432297613</v>
      </c>
      <c r="AQ16" s="38">
        <f t="shared" si="2"/>
        <v>-0.04182447505</v>
      </c>
      <c r="AR16" s="38">
        <f t="shared" si="2"/>
        <v>0.004200986936</v>
      </c>
      <c r="AS16" s="38">
        <f t="shared" si="2"/>
        <v>0.00647769294</v>
      </c>
      <c r="AT16" s="38">
        <f t="shared" si="2"/>
        <v>0.0005710894262</v>
      </c>
      <c r="AU16" s="38">
        <f t="shared" si="2"/>
        <v>0.0012627125</v>
      </c>
      <c r="AV16" s="38">
        <f t="shared" si="2"/>
        <v>0.005643297748</v>
      </c>
      <c r="AW16" s="38">
        <f t="shared" si="2"/>
        <v>0.001732420599</v>
      </c>
      <c r="AX16" s="38">
        <f t="shared" si="2"/>
        <v>0.001840281244</v>
      </c>
      <c r="AY16" s="38">
        <f t="shared" si="2"/>
        <v>0.002032386206</v>
      </c>
      <c r="AZ16" s="38">
        <f t="shared" si="2"/>
        <v>0.00202483825</v>
      </c>
      <c r="BA16" s="38">
        <f t="shared" si="2"/>
        <v>0.002072889731</v>
      </c>
      <c r="BB16" s="38">
        <f t="shared" si="2"/>
        <v>0.003288527255</v>
      </c>
      <c r="BC16" s="38">
        <f t="shared" si="2"/>
        <v>0.003825750862</v>
      </c>
      <c r="BD16" s="37">
        <f t="shared" si="2"/>
        <v>0.005190754259</v>
      </c>
      <c r="BE16" s="37"/>
    </row>
    <row r="17" ht="15.75" customHeight="1">
      <c r="A17" s="24" t="s">
        <v>21</v>
      </c>
      <c r="B17" s="24" t="s">
        <v>20</v>
      </c>
      <c r="C17" s="38">
        <f t="shared" ref="C17:BD17" si="3">IFERROR(C13/C9,"")</f>
        <v>0.12</v>
      </c>
      <c r="D17" s="38">
        <f t="shared" si="3"/>
        <v>0.6731391586</v>
      </c>
      <c r="E17" s="38">
        <f t="shared" si="3"/>
        <v>0.8041237113</v>
      </c>
      <c r="F17" s="38">
        <f t="shared" si="3"/>
        <v>1.266040689</v>
      </c>
      <c r="G17" s="38">
        <f t="shared" si="3"/>
        <v>1.227762803</v>
      </c>
      <c r="H17" s="38">
        <f t="shared" si="3"/>
        <v>1.275097784</v>
      </c>
      <c r="I17" s="38">
        <f t="shared" si="3"/>
        <v>0.79875</v>
      </c>
      <c r="J17" s="38">
        <f t="shared" si="3"/>
        <v>1.068888889</v>
      </c>
      <c r="K17" s="38">
        <f t="shared" si="3"/>
        <v>1.865263158</v>
      </c>
      <c r="L17" s="38">
        <f t="shared" si="3"/>
        <v>2.317</v>
      </c>
      <c r="M17" s="42">
        <f t="shared" si="3"/>
        <v>3.787401575</v>
      </c>
      <c r="N17" s="42">
        <f t="shared" si="3"/>
        <v>2.697860963</v>
      </c>
      <c r="O17" s="38">
        <f t="shared" si="3"/>
        <v>2.232417138</v>
      </c>
      <c r="P17" s="38">
        <f t="shared" si="3"/>
        <v>1.799206921</v>
      </c>
      <c r="Q17" s="38">
        <f t="shared" si="3"/>
        <v>0.3604902668</v>
      </c>
      <c r="R17" s="38">
        <f t="shared" si="3"/>
        <v>0.0055083305</v>
      </c>
      <c r="S17" s="42">
        <f t="shared" si="3"/>
        <v>0.04852798447</v>
      </c>
      <c r="T17" s="42">
        <f t="shared" si="3"/>
        <v>0.1287146764</v>
      </c>
      <c r="U17" s="38">
        <f t="shared" si="3"/>
        <v>0.01868551083</v>
      </c>
      <c r="V17" s="38">
        <f t="shared" si="3"/>
        <v>0.006107477142</v>
      </c>
      <c r="W17" s="38">
        <f t="shared" si="3"/>
        <v>0.01591903525</v>
      </c>
      <c r="X17" s="38">
        <f t="shared" si="3"/>
        <v>0.005324590521</v>
      </c>
      <c r="Y17" s="38">
        <f t="shared" si="3"/>
        <v>0.1423080617</v>
      </c>
      <c r="Z17" s="38">
        <f t="shared" si="3"/>
        <v>0.1289295138</v>
      </c>
      <c r="AA17" s="38">
        <f t="shared" si="3"/>
        <v>0.0494516888</v>
      </c>
      <c r="AB17" s="38">
        <f t="shared" si="3"/>
        <v>0.02570010704</v>
      </c>
      <c r="AC17" s="38">
        <f t="shared" si="3"/>
        <v>0.01955670697</v>
      </c>
      <c r="AD17" s="38">
        <f t="shared" si="3"/>
        <v>0.02378018914</v>
      </c>
      <c r="AE17" s="38">
        <f t="shared" si="3"/>
        <v>0.02343412144</v>
      </c>
      <c r="AF17" s="38">
        <f t="shared" si="3"/>
        <v>0.01442816585</v>
      </c>
      <c r="AG17" s="38">
        <f t="shared" si="3"/>
        <v>0.02715583484</v>
      </c>
      <c r="AH17" s="38">
        <f t="shared" si="3"/>
        <v>0.01779658171</v>
      </c>
      <c r="AI17" s="38">
        <f t="shared" si="3"/>
        <v>0.02579673119</v>
      </c>
      <c r="AJ17" s="38">
        <f t="shared" si="3"/>
        <v>0.03298975611</v>
      </c>
      <c r="AK17" s="38">
        <f t="shared" si="3"/>
        <v>1.275318455</v>
      </c>
      <c r="AL17" s="38">
        <f t="shared" si="3"/>
        <v>0.04477932529</v>
      </c>
      <c r="AM17" s="38">
        <f t="shared" si="3"/>
        <v>0.0946489249</v>
      </c>
      <c r="AN17" s="38">
        <f t="shared" si="3"/>
        <v>0.05042663975</v>
      </c>
      <c r="AO17" s="38">
        <f t="shared" si="3"/>
        <v>0.05980727865</v>
      </c>
      <c r="AP17" s="38">
        <f t="shared" si="3"/>
        <v>0.1775149174</v>
      </c>
      <c r="AQ17" s="38">
        <f t="shared" si="3"/>
        <v>-1.408376507</v>
      </c>
      <c r="AR17" s="38">
        <f t="shared" si="3"/>
        <v>0.07159115746</v>
      </c>
      <c r="AS17" s="38">
        <f t="shared" si="3"/>
        <v>0.1016129844</v>
      </c>
      <c r="AT17" s="38">
        <f t="shared" si="3"/>
        <v>0.008187444986</v>
      </c>
      <c r="AU17" s="38">
        <f t="shared" si="3"/>
        <v>0.02250092764</v>
      </c>
      <c r="AV17" s="38">
        <f t="shared" si="3"/>
        <v>0.1073130873</v>
      </c>
      <c r="AW17" s="38">
        <f t="shared" si="3"/>
        <v>0.0322796812</v>
      </c>
      <c r="AX17" s="38">
        <f t="shared" si="3"/>
        <v>0.03974014928</v>
      </c>
      <c r="AY17" s="38">
        <f t="shared" si="3"/>
        <v>0.0377733134</v>
      </c>
      <c r="AZ17" s="38">
        <f t="shared" si="3"/>
        <v>0.04503401006</v>
      </c>
      <c r="BA17" s="38">
        <f t="shared" si="3"/>
        <v>0.04569471986</v>
      </c>
      <c r="BB17" s="38">
        <f t="shared" si="3"/>
        <v>0.07526658118</v>
      </c>
      <c r="BC17" s="38">
        <f t="shared" si="3"/>
        <v>0.07947658402</v>
      </c>
      <c r="BD17" s="37">
        <f t="shared" si="3"/>
        <v>0.100627554</v>
      </c>
      <c r="BE17" s="37"/>
    </row>
    <row r="18" ht="15.75" customHeight="1">
      <c r="A18" s="26" t="s">
        <v>22</v>
      </c>
      <c r="B18" s="28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</row>
    <row r="19" ht="15.75" customHeight="1">
      <c r="A19" s="24" t="s">
        <v>23</v>
      </c>
      <c r="B19" s="24" t="s">
        <v>20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43">
        <v>0.4675</v>
      </c>
      <c r="AE19" s="43">
        <v>0.3865</v>
      </c>
      <c r="AF19" s="43">
        <v>0.3831</v>
      </c>
      <c r="AG19" s="43">
        <v>0.3346</v>
      </c>
      <c r="AH19" s="43">
        <v>0.32</v>
      </c>
      <c r="AI19" s="43">
        <v>0.2832</v>
      </c>
      <c r="AJ19" s="43">
        <v>0.2252</v>
      </c>
      <c r="AK19" s="43">
        <v>0.2444</v>
      </c>
      <c r="AL19" s="37">
        <v>0.4459</v>
      </c>
      <c r="AM19" s="37">
        <v>0.3144</v>
      </c>
      <c r="AN19" s="37">
        <v>0.2749</v>
      </c>
      <c r="AO19" s="37">
        <v>0.2388</v>
      </c>
      <c r="AP19" s="37">
        <v>0.178</v>
      </c>
      <c r="AQ19" s="37">
        <v>0.3331</v>
      </c>
      <c r="AR19" s="37">
        <v>0.3021</v>
      </c>
      <c r="AS19" s="37">
        <v>0.2561</v>
      </c>
      <c r="AT19" s="37">
        <v>0.2508</v>
      </c>
      <c r="AU19" s="37">
        <v>0.2837</v>
      </c>
      <c r="AV19" s="37">
        <v>0.3528</v>
      </c>
      <c r="AW19" s="37">
        <v>0.2626</v>
      </c>
      <c r="AX19" s="37">
        <v>0.2032</v>
      </c>
      <c r="AY19" s="40">
        <v>0.1837</v>
      </c>
      <c r="AZ19" s="40">
        <v>0.1732</v>
      </c>
      <c r="BA19" s="40">
        <v>0.1483</v>
      </c>
      <c r="BB19" s="40">
        <v>0.1323</v>
      </c>
      <c r="BC19" s="40">
        <v>0.182</v>
      </c>
      <c r="BD19" s="37">
        <v>0.1587</v>
      </c>
      <c r="BE19" s="37"/>
    </row>
    <row r="20" ht="15.75" customHeight="1">
      <c r="A20" s="24" t="s">
        <v>24</v>
      </c>
      <c r="B20" s="24" t="s">
        <v>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>
        <v>57761.0</v>
      </c>
      <c r="AE20" s="37">
        <v>51506.53</v>
      </c>
      <c r="AF20" s="37">
        <v>54399.11</v>
      </c>
      <c r="AG20" s="37">
        <v>52233.37</v>
      </c>
      <c r="AH20" s="37">
        <v>49664.22</v>
      </c>
      <c r="AI20" s="37">
        <v>47653.62</v>
      </c>
      <c r="AJ20" s="37">
        <v>51125.51</v>
      </c>
      <c r="AK20" s="37">
        <v>58900.87</v>
      </c>
      <c r="AL20" s="37">
        <v>92013.53</v>
      </c>
      <c r="AM20" s="37">
        <v>72676.76</v>
      </c>
      <c r="AN20" s="37">
        <v>69833.5</v>
      </c>
      <c r="AO20" s="37">
        <v>68314.86</v>
      </c>
      <c r="AP20" s="37">
        <v>61588.17</v>
      </c>
      <c r="AQ20" s="37">
        <v>125975.3</v>
      </c>
      <c r="AR20" s="37">
        <v>103768.7</v>
      </c>
      <c r="AS20" s="37">
        <v>86437.0</v>
      </c>
      <c r="AT20" s="37">
        <v>86850.0</v>
      </c>
      <c r="AU20" s="37">
        <v>109114.0</v>
      </c>
      <c r="AV20" s="37">
        <v>149302.0</v>
      </c>
      <c r="AW20" s="37">
        <v>121883.0</v>
      </c>
      <c r="AX20" s="37">
        <v>111994.0</v>
      </c>
      <c r="AY20" s="41">
        <v>107673.0</v>
      </c>
      <c r="AZ20" s="41">
        <v>119585.0</v>
      </c>
      <c r="BA20" s="41">
        <v>125536.0</v>
      </c>
      <c r="BB20" s="41">
        <v>133410.0</v>
      </c>
      <c r="BC20" s="41">
        <v>180583.0</v>
      </c>
      <c r="BD20" s="37">
        <v>166149.0</v>
      </c>
      <c r="BE20" s="37"/>
    </row>
    <row r="21" ht="15.75" customHeight="1">
      <c r="A21" s="24" t="s">
        <v>25</v>
      </c>
      <c r="B21" s="24" t="s">
        <v>20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43">
        <v>0.1701</v>
      </c>
      <c r="AE21" s="43">
        <v>0.1979</v>
      </c>
      <c r="AF21" s="43">
        <v>0.1741</v>
      </c>
      <c r="AG21" s="43">
        <v>0.1565</v>
      </c>
      <c r="AH21" s="43">
        <v>0.0409</v>
      </c>
      <c r="AI21" s="43">
        <v>0.0369</v>
      </c>
      <c r="AJ21" s="43">
        <v>0.0755</v>
      </c>
      <c r="AK21" s="43">
        <v>0.568</v>
      </c>
      <c r="AL21" s="37">
        <v>0.522</v>
      </c>
      <c r="AM21" s="37">
        <v>0.6136</v>
      </c>
      <c r="AN21" s="37">
        <v>0.6213</v>
      </c>
      <c r="AO21" s="37">
        <v>0.6658</v>
      </c>
      <c r="AP21" s="37">
        <v>0.61</v>
      </c>
      <c r="AQ21" s="37">
        <v>0.5849</v>
      </c>
      <c r="AR21" s="37">
        <v>0.6752</v>
      </c>
      <c r="AS21" s="37">
        <v>0.606</v>
      </c>
      <c r="AT21" s="37">
        <v>0.4566</v>
      </c>
      <c r="AU21" s="37">
        <v>0.36</v>
      </c>
      <c r="AV21" s="37">
        <v>0.2603</v>
      </c>
      <c r="AW21" s="37">
        <v>0.3614</v>
      </c>
      <c r="AX21" s="37">
        <v>0.4734</v>
      </c>
      <c r="AY21" s="40">
        <v>0.5361</v>
      </c>
      <c r="AZ21" s="40">
        <v>0.5313</v>
      </c>
      <c r="BA21" s="40">
        <v>0.5766</v>
      </c>
      <c r="BB21" s="40">
        <v>0.6773</v>
      </c>
      <c r="BC21" s="40">
        <v>0.7505</v>
      </c>
      <c r="BD21" s="37">
        <v>0.8543</v>
      </c>
      <c r="BE21" s="37"/>
    </row>
    <row r="22" ht="15.75" customHeight="1">
      <c r="A22" s="24" t="s">
        <v>26</v>
      </c>
      <c r="B22" s="24" t="s">
        <v>20</v>
      </c>
      <c r="C22" s="38">
        <f t="shared" ref="C22:BD22" si="4">IFERROR(C7/C8,"")</f>
        <v>0.5083363106</v>
      </c>
      <c r="D22" s="38">
        <f t="shared" si="4"/>
        <v>0.6134309902</v>
      </c>
      <c r="E22" s="38">
        <f t="shared" si="4"/>
        <v>0.7489281886</v>
      </c>
      <c r="F22" s="38">
        <f t="shared" si="4"/>
        <v>0.6459315772</v>
      </c>
      <c r="G22" s="38">
        <f t="shared" si="4"/>
        <v>0.6292500195</v>
      </c>
      <c r="H22" s="38">
        <f t="shared" si="4"/>
        <v>0.7776037756</v>
      </c>
      <c r="I22" s="38">
        <f t="shared" si="4"/>
        <v>0.8061718098</v>
      </c>
      <c r="J22" s="38">
        <f t="shared" si="4"/>
        <v>0.805434018</v>
      </c>
      <c r="K22" s="38">
        <f t="shared" si="4"/>
        <v>0.8777834516</v>
      </c>
      <c r="L22" s="38">
        <f t="shared" si="4"/>
        <v>0.9940218667</v>
      </c>
      <c r="M22" s="38">
        <f t="shared" si="4"/>
        <v>1.054570858</v>
      </c>
      <c r="N22" s="38">
        <f t="shared" si="4"/>
        <v>0.8299149135</v>
      </c>
      <c r="O22" s="38">
        <f t="shared" si="4"/>
        <v>0.8184172364</v>
      </c>
      <c r="P22" s="38">
        <f t="shared" si="4"/>
        <v>0.7965409533</v>
      </c>
      <c r="Q22" s="38">
        <f t="shared" si="4"/>
        <v>0.8228734156</v>
      </c>
      <c r="R22" s="38">
        <f t="shared" si="4"/>
        <v>0.7521625468</v>
      </c>
      <c r="S22" s="42">
        <f t="shared" si="4"/>
        <v>0.7703175428</v>
      </c>
      <c r="T22" s="42">
        <f t="shared" si="4"/>
        <v>0.8018416411</v>
      </c>
      <c r="U22" s="38">
        <f t="shared" si="4"/>
        <v>0.7720702261</v>
      </c>
      <c r="V22" s="38">
        <f t="shared" si="4"/>
        <v>0.6575594263</v>
      </c>
      <c r="W22" s="38">
        <f t="shared" si="4"/>
        <v>0.6350328124</v>
      </c>
      <c r="X22" s="38">
        <f t="shared" si="4"/>
        <v>0.6332969631</v>
      </c>
      <c r="Y22" s="38">
        <f t="shared" si="4"/>
        <v>0.5314315635</v>
      </c>
      <c r="Z22" s="38">
        <f t="shared" si="4"/>
        <v>0.5939584508</v>
      </c>
      <c r="AA22" s="38">
        <f t="shared" si="4"/>
        <v>0.6146606963</v>
      </c>
      <c r="AB22" s="38">
        <f t="shared" si="4"/>
        <v>0.6280341933</v>
      </c>
      <c r="AC22" s="38">
        <f t="shared" si="4"/>
        <v>0.6225263914</v>
      </c>
      <c r="AD22" s="38">
        <f t="shared" si="4"/>
        <v>0.7295325634</v>
      </c>
      <c r="AE22" s="38">
        <f t="shared" si="4"/>
        <v>0.669066066</v>
      </c>
      <c r="AF22" s="38">
        <f t="shared" si="4"/>
        <v>0.6701518263</v>
      </c>
      <c r="AG22" s="38">
        <f t="shared" si="4"/>
        <v>0.7160000633</v>
      </c>
      <c r="AH22" s="38">
        <f t="shared" si="4"/>
        <v>0.686971858</v>
      </c>
      <c r="AI22" s="38">
        <f t="shared" si="4"/>
        <v>0.6808783367</v>
      </c>
      <c r="AJ22" s="38">
        <f t="shared" si="4"/>
        <v>0.8319177405</v>
      </c>
      <c r="AK22" s="38">
        <f t="shared" si="4"/>
        <v>0.8127345432</v>
      </c>
      <c r="AL22" s="38">
        <f t="shared" si="4"/>
        <v>0.627201641</v>
      </c>
      <c r="AM22" s="38">
        <f t="shared" si="4"/>
        <v>0.6344003311</v>
      </c>
      <c r="AN22" s="38">
        <f t="shared" si="4"/>
        <v>0.6254376907</v>
      </c>
      <c r="AO22" s="38">
        <f t="shared" si="4"/>
        <v>0.5983636849</v>
      </c>
      <c r="AP22" s="38">
        <f t="shared" si="4"/>
        <v>0.6489055344</v>
      </c>
      <c r="AQ22" s="38">
        <f t="shared" si="4"/>
        <v>0.6309878779</v>
      </c>
      <c r="AR22" s="38">
        <f t="shared" si="4"/>
        <v>0.5007336915</v>
      </c>
      <c r="AS22" s="38">
        <f t="shared" si="4"/>
        <v>0.4338500571</v>
      </c>
      <c r="AT22" s="38">
        <f t="shared" si="4"/>
        <v>0.3999321026</v>
      </c>
      <c r="AU22" s="38">
        <f t="shared" si="4"/>
        <v>0.3727559305</v>
      </c>
      <c r="AV22" s="38">
        <f t="shared" si="4"/>
        <v>0.3976450492</v>
      </c>
      <c r="AW22" s="38">
        <f t="shared" si="4"/>
        <v>0.4242594614</v>
      </c>
      <c r="AX22" s="38">
        <f t="shared" si="4"/>
        <v>0.4755192494</v>
      </c>
      <c r="AY22" s="38">
        <f t="shared" si="4"/>
        <v>0.4657122021</v>
      </c>
      <c r="AZ22" s="38">
        <f t="shared" si="4"/>
        <v>0.5112439527</v>
      </c>
      <c r="BA22" s="38">
        <f t="shared" si="4"/>
        <v>0.5959255457</v>
      </c>
      <c r="BB22" s="38">
        <f t="shared" si="4"/>
        <v>0.6692761309</v>
      </c>
      <c r="BC22" s="38">
        <f t="shared" si="4"/>
        <v>0.601118288</v>
      </c>
      <c r="BD22" s="37">
        <f t="shared" si="4"/>
        <v>0.5830276442</v>
      </c>
      <c r="BE22" s="37"/>
    </row>
    <row r="23" ht="15.75" customHeight="1">
      <c r="A23" s="26" t="s">
        <v>27</v>
      </c>
      <c r="B23" s="28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</row>
    <row r="24" ht="15.75" customHeight="1">
      <c r="A24" s="24" t="s">
        <v>28</v>
      </c>
      <c r="B24" s="24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43">
        <v>0.0502</v>
      </c>
      <c r="AG24" s="43">
        <v>0.0507</v>
      </c>
      <c r="AH24" s="43">
        <v>0.0508</v>
      </c>
      <c r="AI24" s="43">
        <v>0.0465</v>
      </c>
      <c r="AJ24" s="43">
        <v>0.0406</v>
      </c>
      <c r="AK24" s="43">
        <v>-0.1632</v>
      </c>
      <c r="AL24" s="37"/>
      <c r="AM24" s="37"/>
      <c r="AN24" s="37"/>
      <c r="AO24" s="37"/>
      <c r="AP24" s="37"/>
      <c r="AQ24" s="37"/>
      <c r="AR24" s="37"/>
      <c r="AS24" s="37">
        <v>0.1224</v>
      </c>
      <c r="AT24" s="37">
        <v>0.1008</v>
      </c>
      <c r="AU24" s="37">
        <v>0.1033</v>
      </c>
      <c r="AV24" s="37">
        <v>0.1035</v>
      </c>
      <c r="AW24" s="37">
        <v>0.101</v>
      </c>
      <c r="AX24" s="37">
        <v>0.1009</v>
      </c>
      <c r="AY24" s="40">
        <v>0.1002</v>
      </c>
      <c r="AZ24" s="40">
        <v>0.1004</v>
      </c>
      <c r="BA24" s="40">
        <v>0.1005</v>
      </c>
      <c r="BB24" s="40">
        <v>0.1007</v>
      </c>
      <c r="BC24" s="40">
        <v>0.1008</v>
      </c>
      <c r="BD24" s="37">
        <v>0.1011</v>
      </c>
      <c r="BE24" s="37"/>
    </row>
    <row r="25" ht="15.75" customHeight="1">
      <c r="A25" s="24" t="s">
        <v>29</v>
      </c>
      <c r="B25" s="24" t="s">
        <v>20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43">
        <v>0.8078</v>
      </c>
      <c r="AF25" s="43">
        <v>0.8748</v>
      </c>
      <c r="AG25" s="43">
        <v>0.7987</v>
      </c>
      <c r="AH25" s="43">
        <v>0.8758</v>
      </c>
      <c r="AI25" s="43">
        <v>0.7842</v>
      </c>
      <c r="AJ25" s="43">
        <v>0.531</v>
      </c>
      <c r="AK25" s="43">
        <v>0.6286</v>
      </c>
      <c r="AL25" s="37"/>
      <c r="AM25" s="37"/>
      <c r="AN25" s="37"/>
      <c r="AO25" s="37"/>
      <c r="AP25" s="37"/>
      <c r="AQ25" s="37"/>
      <c r="AR25" s="37"/>
      <c r="AS25" s="37">
        <v>0.6016</v>
      </c>
      <c r="AT25" s="37">
        <v>0.6189</v>
      </c>
      <c r="AU25" s="37">
        <v>0.9401</v>
      </c>
      <c r="AV25" s="37">
        <v>0.8392</v>
      </c>
      <c r="AW25" s="37">
        <v>0.7413</v>
      </c>
      <c r="AX25" s="37">
        <v>0.7774</v>
      </c>
      <c r="AY25" s="40">
        <v>0.7461</v>
      </c>
      <c r="AZ25" s="40">
        <v>0.7567</v>
      </c>
      <c r="BA25" s="40">
        <v>0.739</v>
      </c>
      <c r="BB25" s="40">
        <v>0.6787</v>
      </c>
      <c r="BC25" s="40">
        <v>0.6267</v>
      </c>
      <c r="BD25" s="37">
        <v>0.5744</v>
      </c>
      <c r="BE25" s="37"/>
    </row>
    <row r="26" ht="15.75" customHeight="1">
      <c r="A26" s="26" t="s">
        <v>30</v>
      </c>
      <c r="B26" s="28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</row>
    <row r="27" ht="15.75" customHeight="1">
      <c r="A27" s="24" t="s">
        <v>31</v>
      </c>
      <c r="B27" s="24" t="s">
        <v>20</v>
      </c>
      <c r="C27" s="43" t="str">
        <f t="shared" ref="C27:BE27" si="5">IF(OR(C20="",C6="",C6=0),"",C20/C6)</f>
        <v/>
      </c>
      <c r="D27" s="43" t="str">
        <f t="shared" si="5"/>
        <v/>
      </c>
      <c r="E27" s="43" t="str">
        <f t="shared" si="5"/>
        <v/>
      </c>
      <c r="F27" s="43" t="str">
        <f t="shared" si="5"/>
        <v/>
      </c>
      <c r="G27" s="43" t="str">
        <f t="shared" si="5"/>
        <v/>
      </c>
      <c r="H27" s="43" t="str">
        <f t="shared" si="5"/>
        <v/>
      </c>
      <c r="I27" s="43" t="str">
        <f t="shared" si="5"/>
        <v/>
      </c>
      <c r="J27" s="43" t="str">
        <f t="shared" si="5"/>
        <v/>
      </c>
      <c r="K27" s="43" t="str">
        <f t="shared" si="5"/>
        <v/>
      </c>
      <c r="L27" s="43" t="str">
        <f t="shared" si="5"/>
        <v/>
      </c>
      <c r="M27" s="43" t="str">
        <f t="shared" si="5"/>
        <v/>
      </c>
      <c r="N27" s="43" t="str">
        <f t="shared" si="5"/>
        <v/>
      </c>
      <c r="O27" s="43" t="str">
        <f t="shared" si="5"/>
        <v/>
      </c>
      <c r="P27" s="43" t="str">
        <f t="shared" si="5"/>
        <v/>
      </c>
      <c r="Q27" s="43" t="str">
        <f t="shared" si="5"/>
        <v/>
      </c>
      <c r="R27" s="43" t="str">
        <f t="shared" si="5"/>
        <v/>
      </c>
      <c r="S27" s="43" t="str">
        <f t="shared" si="5"/>
        <v/>
      </c>
      <c r="T27" s="43" t="str">
        <f t="shared" si="5"/>
        <v/>
      </c>
      <c r="U27" s="43" t="str">
        <f t="shared" si="5"/>
        <v/>
      </c>
      <c r="V27" s="43" t="str">
        <f t="shared" si="5"/>
        <v/>
      </c>
      <c r="W27" s="43" t="str">
        <f t="shared" si="5"/>
        <v/>
      </c>
      <c r="X27" s="43" t="str">
        <f t="shared" si="5"/>
        <v/>
      </c>
      <c r="Y27" s="43" t="str">
        <f t="shared" si="5"/>
        <v/>
      </c>
      <c r="Z27" s="43" t="str">
        <f t="shared" si="5"/>
        <v/>
      </c>
      <c r="AA27" s="43" t="str">
        <f t="shared" si="5"/>
        <v/>
      </c>
      <c r="AB27" s="43" t="str">
        <f t="shared" si="5"/>
        <v/>
      </c>
      <c r="AC27" s="43" t="str">
        <f t="shared" si="5"/>
        <v/>
      </c>
      <c r="AD27" s="43">
        <f t="shared" si="5"/>
        <v>0.2611605192</v>
      </c>
      <c r="AE27" s="43">
        <f t="shared" si="5"/>
        <v>0.2167051322</v>
      </c>
      <c r="AF27" s="43">
        <f t="shared" si="5"/>
        <v>0.214099215</v>
      </c>
      <c r="AG27" s="43">
        <f t="shared" si="5"/>
        <v>0.1927274312</v>
      </c>
      <c r="AH27" s="43">
        <f t="shared" si="5"/>
        <v>0.1861119936</v>
      </c>
      <c r="AI27" s="43">
        <f t="shared" si="5"/>
        <v>0.1630959133</v>
      </c>
      <c r="AJ27" s="43">
        <f t="shared" si="5"/>
        <v>0.1513990525</v>
      </c>
      <c r="AK27" s="43">
        <f t="shared" si="5"/>
        <v>0.1669081935</v>
      </c>
      <c r="AL27" s="43">
        <f t="shared" si="5"/>
        <v>0.1991789061</v>
      </c>
      <c r="AM27" s="43">
        <f t="shared" si="5"/>
        <v>0.1474334671</v>
      </c>
      <c r="AN27" s="43">
        <f t="shared" si="5"/>
        <v>0.1283776563</v>
      </c>
      <c r="AO27" s="43">
        <f t="shared" si="5"/>
        <v>0.1052182895</v>
      </c>
      <c r="AP27" s="43">
        <f t="shared" si="5"/>
        <v>0.0885915837</v>
      </c>
      <c r="AQ27" s="43">
        <f t="shared" si="5"/>
        <v>0.1670871434</v>
      </c>
      <c r="AR27" s="43">
        <f t="shared" si="5"/>
        <v>0.1217623005</v>
      </c>
      <c r="AS27" s="43">
        <f t="shared" si="5"/>
        <v>0.09248634698</v>
      </c>
      <c r="AT27" s="43">
        <f t="shared" si="5"/>
        <v>0.08464013082</v>
      </c>
      <c r="AU27" s="43">
        <f t="shared" si="5"/>
        <v>0.09088364887</v>
      </c>
      <c r="AV27" s="43">
        <f t="shared" si="5"/>
        <v>0.1188036718</v>
      </c>
      <c r="AW27" s="43">
        <f t="shared" si="5"/>
        <v>0.09326529144</v>
      </c>
      <c r="AX27" s="43">
        <f t="shared" si="5"/>
        <v>0.07605182938</v>
      </c>
      <c r="AY27" s="43">
        <f t="shared" si="5"/>
        <v>0.06766639455</v>
      </c>
      <c r="AZ27" s="43">
        <f t="shared" si="5"/>
        <v>0.07006373905</v>
      </c>
      <c r="BA27" s="43">
        <f t="shared" si="5"/>
        <v>0.07014077771</v>
      </c>
      <c r="BB27" s="43">
        <f t="shared" si="5"/>
        <v>0.06734035626</v>
      </c>
      <c r="BC27" s="43">
        <f t="shared" si="5"/>
        <v>0.07982271148</v>
      </c>
      <c r="BD27" s="43">
        <f t="shared" si="5"/>
        <v>0.06948985814</v>
      </c>
      <c r="BE27" s="43" t="str">
        <f t="shared" si="5"/>
        <v/>
      </c>
    </row>
    <row r="28" ht="15.75" customHeight="1">
      <c r="A28" s="24" t="s">
        <v>32</v>
      </c>
      <c r="B28" s="24" t="s">
        <v>20</v>
      </c>
      <c r="C28" s="43"/>
      <c r="D28" s="38">
        <f t="shared" ref="D28:BE28" si="6">IFERROR((D13-C13)/ABS(C13),"")</f>
        <v>7.666666667</v>
      </c>
      <c r="E28" s="38">
        <f t="shared" si="6"/>
        <v>0.5</v>
      </c>
      <c r="F28" s="38">
        <f t="shared" si="6"/>
        <v>1.592948718</v>
      </c>
      <c r="G28" s="38">
        <f t="shared" si="6"/>
        <v>0.1260815822</v>
      </c>
      <c r="H28" s="38">
        <f t="shared" si="6"/>
        <v>0.07354555434</v>
      </c>
      <c r="I28" s="38">
        <f t="shared" si="6"/>
        <v>-0.3466257669</v>
      </c>
      <c r="J28" s="38">
        <f t="shared" si="6"/>
        <v>0.5054773083</v>
      </c>
      <c r="K28" s="38">
        <f t="shared" si="6"/>
        <v>0.841995842</v>
      </c>
      <c r="L28" s="38">
        <f t="shared" si="6"/>
        <v>0.3075620767</v>
      </c>
      <c r="M28" s="38">
        <f t="shared" si="6"/>
        <v>1.075960293</v>
      </c>
      <c r="N28" s="38">
        <f t="shared" si="6"/>
        <v>0.04885654886</v>
      </c>
      <c r="O28" s="38">
        <f t="shared" si="6"/>
        <v>0.09474727453</v>
      </c>
      <c r="P28" s="38">
        <f t="shared" si="6"/>
        <v>-0.09632446134</v>
      </c>
      <c r="Q28" s="38">
        <f t="shared" si="6"/>
        <v>-0.7996393508</v>
      </c>
      <c r="R28" s="38">
        <f t="shared" si="6"/>
        <v>-0.9838</v>
      </c>
      <c r="S28" s="38">
        <f t="shared" si="6"/>
        <v>8.259259259</v>
      </c>
      <c r="T28" s="38">
        <f t="shared" si="6"/>
        <v>1.824</v>
      </c>
      <c r="U28" s="38">
        <f t="shared" si="6"/>
        <v>0.2141170916</v>
      </c>
      <c r="V28" s="38">
        <f t="shared" si="6"/>
        <v>-0.6713980167</v>
      </c>
      <c r="W28" s="38">
        <f t="shared" si="6"/>
        <v>1.647928994</v>
      </c>
      <c r="X28" s="38">
        <f t="shared" si="6"/>
        <v>-0.5626815642</v>
      </c>
      <c r="Y28" s="38">
        <f t="shared" si="6"/>
        <v>29.28972918</v>
      </c>
      <c r="Z28" s="38">
        <f t="shared" si="6"/>
        <v>0.03866592439</v>
      </c>
      <c r="AA28" s="38">
        <f t="shared" si="6"/>
        <v>-0.5971674057</v>
      </c>
      <c r="AB28" s="38">
        <f t="shared" si="6"/>
        <v>-0.4675429401</v>
      </c>
      <c r="AC28" s="38">
        <f t="shared" si="6"/>
        <v>-0.2283053158</v>
      </c>
      <c r="AD28" s="38">
        <f t="shared" si="6"/>
        <v>0.238641939</v>
      </c>
      <c r="AE28" s="38">
        <f t="shared" si="6"/>
        <v>0.04745306187</v>
      </c>
      <c r="AF28" s="38">
        <f t="shared" si="6"/>
        <v>-0.3773256693</v>
      </c>
      <c r="AG28" s="38">
        <f t="shared" si="6"/>
        <v>0.9316166646</v>
      </c>
      <c r="AH28" s="38">
        <f t="shared" si="6"/>
        <v>-0.3334590958</v>
      </c>
      <c r="AI28" s="38">
        <f t="shared" si="6"/>
        <v>0.4860377358</v>
      </c>
      <c r="AJ28" s="38">
        <f t="shared" si="6"/>
        <v>0.3207211783</v>
      </c>
      <c r="AK28" s="38">
        <f t="shared" si="6"/>
        <v>-175.3685349</v>
      </c>
      <c r="AL28" s="38">
        <f t="shared" si="6"/>
        <v>1.026838404</v>
      </c>
      <c r="AM28" s="38">
        <f t="shared" si="6"/>
        <v>1.373826496</v>
      </c>
      <c r="AN28" s="38">
        <f t="shared" si="6"/>
        <v>-0.3350511226</v>
      </c>
      <c r="AO28" s="38">
        <f t="shared" si="6"/>
        <v>0.781405155</v>
      </c>
      <c r="AP28" s="38">
        <f t="shared" si="6"/>
        <v>2.637194487</v>
      </c>
      <c r="AQ28" s="38">
        <f t="shared" si="6"/>
        <v>-4.166903011</v>
      </c>
      <c r="AR28" s="38">
        <f t="shared" si="6"/>
        <v>1.113535584</v>
      </c>
      <c r="AS28" s="38">
        <f t="shared" si="6"/>
        <v>0.6909764314</v>
      </c>
      <c r="AT28" s="38">
        <f t="shared" si="6"/>
        <v>-0.9032044929</v>
      </c>
      <c r="AU28" s="38">
        <f t="shared" si="6"/>
        <v>1.587030717</v>
      </c>
      <c r="AV28" s="38">
        <f t="shared" si="6"/>
        <v>3.678100264</v>
      </c>
      <c r="AW28" s="38">
        <f t="shared" si="6"/>
        <v>-0.6807670615</v>
      </c>
      <c r="AX28" s="38">
        <f t="shared" si="6"/>
        <v>0.1969964664</v>
      </c>
      <c r="AY28" s="38">
        <f t="shared" si="6"/>
        <v>0.1933579336</v>
      </c>
      <c r="AZ28" s="38">
        <f t="shared" si="6"/>
        <v>0.06864564007</v>
      </c>
      <c r="BA28" s="38">
        <f t="shared" si="6"/>
        <v>0.07349537037</v>
      </c>
      <c r="BB28" s="38">
        <f t="shared" si="6"/>
        <v>0.75606469</v>
      </c>
      <c r="BC28" s="38">
        <f t="shared" si="6"/>
        <v>0.3284727552</v>
      </c>
      <c r="BD28" s="43">
        <f t="shared" si="6"/>
        <v>0.4339688042</v>
      </c>
      <c r="BE28" s="43">
        <f t="shared" si="6"/>
        <v>-1</v>
      </c>
    </row>
    <row r="29" ht="15.75" customHeight="1">
      <c r="A29" s="24" t="s">
        <v>33</v>
      </c>
      <c r="B29" s="24" t="s">
        <v>20</v>
      </c>
      <c r="C29" s="43"/>
      <c r="D29" s="38">
        <f t="shared" ref="D29:BE29" si="7">IFERROR((D6-C6)/C6,"")</f>
        <v>-1</v>
      </c>
      <c r="E29" s="38" t="str">
        <f t="shared" si="7"/>
        <v/>
      </c>
      <c r="F29" s="38">
        <f t="shared" si="7"/>
        <v>0.5668325899</v>
      </c>
      <c r="G29" s="38">
        <f t="shared" si="7"/>
        <v>-0.1215755309</v>
      </c>
      <c r="H29" s="38">
        <f t="shared" si="7"/>
        <v>0.4035727705</v>
      </c>
      <c r="I29" s="38">
        <f t="shared" si="7"/>
        <v>0.3112471974</v>
      </c>
      <c r="J29" s="38">
        <f t="shared" si="7"/>
        <v>0.4968184293</v>
      </c>
      <c r="K29" s="38">
        <f t="shared" si="7"/>
        <v>-1</v>
      </c>
      <c r="L29" s="38" t="str">
        <f t="shared" si="7"/>
        <v/>
      </c>
      <c r="M29" s="38">
        <f t="shared" si="7"/>
        <v>0.2992113911</v>
      </c>
      <c r="N29" s="38">
        <f t="shared" si="7"/>
        <v>0.1111050862</v>
      </c>
      <c r="O29" s="38">
        <f t="shared" si="7"/>
        <v>0.2476295188</v>
      </c>
      <c r="P29" s="38">
        <f t="shared" si="7"/>
        <v>0.213765048</v>
      </c>
      <c r="Q29" s="38">
        <f t="shared" si="7"/>
        <v>0.0869802014</v>
      </c>
      <c r="R29" s="38">
        <f t="shared" si="7"/>
        <v>0.08919172836</v>
      </c>
      <c r="S29" s="38">
        <f t="shared" si="7"/>
        <v>0.1483013342</v>
      </c>
      <c r="T29" s="38">
        <f t="shared" si="7"/>
        <v>0.07658867955</v>
      </c>
      <c r="U29" s="38">
        <f t="shared" si="7"/>
        <v>0.1051612327</v>
      </c>
      <c r="V29" s="38">
        <f t="shared" si="7"/>
        <v>0.08731662737</v>
      </c>
      <c r="W29" s="38">
        <f t="shared" si="7"/>
        <v>0.07634815701</v>
      </c>
      <c r="X29" s="38">
        <f t="shared" si="7"/>
        <v>0.1096972429</v>
      </c>
      <c r="Y29" s="38">
        <f t="shared" si="7"/>
        <v>0.2516843217</v>
      </c>
      <c r="Z29" s="38">
        <f t="shared" si="7"/>
        <v>0.1307605683</v>
      </c>
      <c r="AA29" s="38">
        <f t="shared" si="7"/>
        <v>0.04565716114</v>
      </c>
      <c r="AB29" s="38">
        <f t="shared" si="7"/>
        <v>0.1016830926</v>
      </c>
      <c r="AC29" s="38">
        <f t="shared" si="7"/>
        <v>0.1008315171</v>
      </c>
      <c r="AD29" s="38">
        <f t="shared" si="7"/>
        <v>0.1119670456</v>
      </c>
      <c r="AE29" s="38">
        <f t="shared" si="7"/>
        <v>0.07464720994</v>
      </c>
      <c r="AF29" s="38">
        <f t="shared" si="7"/>
        <v>0.06901456894</v>
      </c>
      <c r="AG29" s="38">
        <f t="shared" si="7"/>
        <v>0.06666438395</v>
      </c>
      <c r="AH29" s="38">
        <f t="shared" si="7"/>
        <v>-0.01538886256</v>
      </c>
      <c r="AI29" s="38">
        <f t="shared" si="7"/>
        <v>0.09492295446</v>
      </c>
      <c r="AJ29" s="38">
        <f t="shared" si="7"/>
        <v>0.1557440806</v>
      </c>
      <c r="AK29" s="38">
        <f t="shared" si="7"/>
        <v>0.04503192186</v>
      </c>
      <c r="AL29" s="38">
        <f t="shared" si="7"/>
        <v>0.3090742989</v>
      </c>
      <c r="AM29" s="38">
        <f t="shared" si="7"/>
        <v>0.06706562541</v>
      </c>
      <c r="AN29" s="38">
        <f t="shared" si="7"/>
        <v>0.1035064783</v>
      </c>
      <c r="AO29" s="38">
        <f t="shared" si="7"/>
        <v>0.1935746297</v>
      </c>
      <c r="AP29" s="38">
        <f t="shared" si="7"/>
        <v>0.07073226412</v>
      </c>
      <c r="AQ29" s="38">
        <f t="shared" si="7"/>
        <v>0.08451991781</v>
      </c>
      <c r="AR29" s="38">
        <f t="shared" si="7"/>
        <v>0.1303453815</v>
      </c>
      <c r="AS29" s="38">
        <f t="shared" si="7"/>
        <v>0.0966512249</v>
      </c>
      <c r="AT29" s="38">
        <f t="shared" si="7"/>
        <v>0.09792187393</v>
      </c>
      <c r="AU29" s="38">
        <f t="shared" si="7"/>
        <v>0.1700413894</v>
      </c>
      <c r="AV29" s="38">
        <f t="shared" si="7"/>
        <v>0.0467453502</v>
      </c>
      <c r="AW29" s="38">
        <f t="shared" si="7"/>
        <v>0.03988980769</v>
      </c>
      <c r="AX29" s="38">
        <f t="shared" si="7"/>
        <v>0.1268393578</v>
      </c>
      <c r="AY29" s="38">
        <f t="shared" si="7"/>
        <v>0.08055949982</v>
      </c>
      <c r="AZ29" s="38">
        <f t="shared" si="7"/>
        <v>0.07262921269</v>
      </c>
      <c r="BA29" s="38">
        <f t="shared" si="7"/>
        <v>0.04861076527</v>
      </c>
      <c r="BB29" s="38">
        <f t="shared" si="7"/>
        <v>0.1069175292</v>
      </c>
      <c r="BC29" s="38">
        <f t="shared" si="7"/>
        <v>0.1419245582</v>
      </c>
      <c r="BD29" s="43">
        <f t="shared" si="7"/>
        <v>0.05688058309</v>
      </c>
      <c r="BE29" s="43">
        <f t="shared" si="7"/>
        <v>-1</v>
      </c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88"/>
    <col customWidth="1" min="2" max="6" width="12.63"/>
  </cols>
  <sheetData>
    <row r="1" ht="47.25" customHeight="1">
      <c r="A1" s="1"/>
    </row>
    <row r="2" ht="17.25" customHeight="1">
      <c r="A2" s="5" t="s">
        <v>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ht="15.75" customHeight="1">
      <c r="A4" s="14" t="s">
        <v>4</v>
      </c>
      <c r="B4" s="14" t="s">
        <v>5</v>
      </c>
      <c r="C4" s="16">
        <v>1972.0</v>
      </c>
      <c r="D4" s="18">
        <f t="shared" ref="D4:BE4" si="1">C4+1</f>
        <v>1973</v>
      </c>
      <c r="E4" s="18">
        <f t="shared" si="1"/>
        <v>1974</v>
      </c>
      <c r="F4" s="18">
        <f t="shared" si="1"/>
        <v>1975</v>
      </c>
      <c r="G4" s="18">
        <f t="shared" si="1"/>
        <v>1976</v>
      </c>
      <c r="H4" s="18">
        <f t="shared" si="1"/>
        <v>1977</v>
      </c>
      <c r="I4" s="18">
        <f t="shared" si="1"/>
        <v>1978</v>
      </c>
      <c r="J4" s="18">
        <f t="shared" si="1"/>
        <v>1979</v>
      </c>
      <c r="K4" s="18">
        <f t="shared" si="1"/>
        <v>1980</v>
      </c>
      <c r="L4" s="18">
        <f t="shared" si="1"/>
        <v>1981</v>
      </c>
      <c r="M4" s="18">
        <f t="shared" si="1"/>
        <v>1982</v>
      </c>
      <c r="N4" s="18">
        <f t="shared" si="1"/>
        <v>1983</v>
      </c>
      <c r="O4" s="18">
        <f t="shared" si="1"/>
        <v>1984</v>
      </c>
      <c r="P4" s="18">
        <f t="shared" si="1"/>
        <v>1985</v>
      </c>
      <c r="Q4" s="18">
        <f t="shared" si="1"/>
        <v>1986</v>
      </c>
      <c r="R4" s="18">
        <f t="shared" si="1"/>
        <v>1987</v>
      </c>
      <c r="S4" s="18">
        <f t="shared" si="1"/>
        <v>1988</v>
      </c>
      <c r="T4" s="18">
        <f t="shared" si="1"/>
        <v>1989</v>
      </c>
      <c r="U4" s="18">
        <f t="shared" si="1"/>
        <v>1990</v>
      </c>
      <c r="V4" s="18">
        <f t="shared" si="1"/>
        <v>1991</v>
      </c>
      <c r="W4" s="18">
        <f t="shared" si="1"/>
        <v>1992</v>
      </c>
      <c r="X4" s="18">
        <f t="shared" si="1"/>
        <v>1993</v>
      </c>
      <c r="Y4" s="18">
        <f t="shared" si="1"/>
        <v>1994</v>
      </c>
      <c r="Z4" s="18">
        <f t="shared" si="1"/>
        <v>1995</v>
      </c>
      <c r="AA4" s="18">
        <f t="shared" si="1"/>
        <v>1996</v>
      </c>
      <c r="AB4" s="18">
        <f t="shared" si="1"/>
        <v>1997</v>
      </c>
      <c r="AC4" s="18">
        <f t="shared" si="1"/>
        <v>1998</v>
      </c>
      <c r="AD4" s="18">
        <f t="shared" si="1"/>
        <v>1999</v>
      </c>
      <c r="AE4" s="18">
        <f t="shared" si="1"/>
        <v>2000</v>
      </c>
      <c r="AF4" s="18">
        <f t="shared" si="1"/>
        <v>2001</v>
      </c>
      <c r="AG4" s="18">
        <f t="shared" si="1"/>
        <v>2002</v>
      </c>
      <c r="AH4" s="18">
        <f t="shared" si="1"/>
        <v>2003</v>
      </c>
      <c r="AI4" s="18">
        <f t="shared" si="1"/>
        <v>2004</v>
      </c>
      <c r="AJ4" s="18">
        <f t="shared" si="1"/>
        <v>2005</v>
      </c>
      <c r="AK4" s="18">
        <f t="shared" si="1"/>
        <v>2006</v>
      </c>
      <c r="AL4" s="18">
        <f t="shared" si="1"/>
        <v>2007</v>
      </c>
      <c r="AM4" s="18">
        <f t="shared" si="1"/>
        <v>2008</v>
      </c>
      <c r="AN4" s="18">
        <f t="shared" si="1"/>
        <v>2009</v>
      </c>
      <c r="AO4" s="18">
        <f t="shared" si="1"/>
        <v>2010</v>
      </c>
      <c r="AP4" s="18">
        <f t="shared" si="1"/>
        <v>2011</v>
      </c>
      <c r="AQ4" s="18">
        <f t="shared" si="1"/>
        <v>2012</v>
      </c>
      <c r="AR4" s="18">
        <f t="shared" si="1"/>
        <v>2013</v>
      </c>
      <c r="AS4" s="18">
        <f t="shared" si="1"/>
        <v>2014</v>
      </c>
      <c r="AT4" s="18">
        <f t="shared" si="1"/>
        <v>2015</v>
      </c>
      <c r="AU4" s="18">
        <f t="shared" si="1"/>
        <v>2016</v>
      </c>
      <c r="AV4" s="18">
        <f t="shared" si="1"/>
        <v>2017</v>
      </c>
      <c r="AW4" s="18">
        <f t="shared" si="1"/>
        <v>2018</v>
      </c>
      <c r="AX4" s="18">
        <f t="shared" si="1"/>
        <v>2019</v>
      </c>
      <c r="AY4" s="18">
        <f t="shared" si="1"/>
        <v>2020</v>
      </c>
      <c r="AZ4" s="18">
        <f t="shared" si="1"/>
        <v>2021</v>
      </c>
      <c r="BA4" s="18">
        <f t="shared" si="1"/>
        <v>2022</v>
      </c>
      <c r="BB4" s="18">
        <f t="shared" si="1"/>
        <v>2023</v>
      </c>
      <c r="BC4" s="18">
        <f t="shared" si="1"/>
        <v>2024</v>
      </c>
      <c r="BD4" s="18">
        <f t="shared" si="1"/>
        <v>2025</v>
      </c>
      <c r="BE4" s="18">
        <f t="shared" si="1"/>
        <v>2026</v>
      </c>
    </row>
    <row r="5" ht="15.75" customHeight="1">
      <c r="A5" s="32" t="s">
        <v>6</v>
      </c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</row>
    <row r="6" ht="15.75" customHeight="1">
      <c r="A6" s="24" t="s">
        <v>7</v>
      </c>
      <c r="B6" s="24" t="s">
        <v>8</v>
      </c>
      <c r="C6" s="25">
        <v>2969.71</v>
      </c>
      <c r="D6" s="25">
        <v>3954.82</v>
      </c>
      <c r="E6" s="25">
        <v>4498.15</v>
      </c>
      <c r="F6" s="25">
        <v>6313.35</v>
      </c>
      <c r="G6" s="25">
        <v>8420.83</v>
      </c>
      <c r="H6" s="25">
        <v>9994.18</v>
      </c>
      <c r="I6" s="25">
        <v>11248.11</v>
      </c>
      <c r="J6" s="25">
        <v>14446.55</v>
      </c>
      <c r="K6" s="25">
        <v>16559.5</v>
      </c>
      <c r="L6" s="25">
        <v>16979.59</v>
      </c>
      <c r="M6" s="25">
        <v>19736.24</v>
      </c>
      <c r="N6" s="25">
        <v>24474.88</v>
      </c>
      <c r="O6" s="25">
        <v>32992.43</v>
      </c>
      <c r="P6" s="25">
        <v>35671.5</v>
      </c>
      <c r="Q6" s="25">
        <v>35646.32</v>
      </c>
      <c r="R6" s="25">
        <v>40976.41</v>
      </c>
      <c r="S6" s="25">
        <v>47676.04</v>
      </c>
      <c r="T6" s="25">
        <v>54525.89</v>
      </c>
      <c r="U6" s="25">
        <v>64244.66</v>
      </c>
      <c r="V6" s="25">
        <v>67857.03</v>
      </c>
      <c r="W6" s="25">
        <v>72606.03</v>
      </c>
      <c r="X6" s="25">
        <v>78531.82</v>
      </c>
      <c r="Y6" s="25">
        <v>87559.42</v>
      </c>
      <c r="Z6" s="25">
        <v>95585.65</v>
      </c>
      <c r="AA6" s="25">
        <v>100359.68</v>
      </c>
      <c r="AB6" s="25">
        <v>112994.27</v>
      </c>
      <c r="AC6" s="25">
        <v>122771.03</v>
      </c>
      <c r="AD6" s="25">
        <v>125887.96</v>
      </c>
      <c r="AE6" s="25">
        <v>128567.89</v>
      </c>
      <c r="AF6" s="25">
        <v>152041.78</v>
      </c>
      <c r="AG6" s="25">
        <v>168234.65</v>
      </c>
      <c r="AH6" s="25">
        <v>156341.35</v>
      </c>
      <c r="AI6" s="25">
        <v>169030.51</v>
      </c>
      <c r="AJ6" s="25">
        <v>188166.18</v>
      </c>
      <c r="AK6" s="25">
        <v>212663.93</v>
      </c>
      <c r="AL6" s="25">
        <v>243088.2</v>
      </c>
      <c r="AM6" s="25">
        <v>267157.3</v>
      </c>
      <c r="AN6" s="25">
        <v>293662.78</v>
      </c>
      <c r="AO6" s="25">
        <v>345233.93</v>
      </c>
      <c r="AP6" s="25">
        <v>440389.37</v>
      </c>
      <c r="AQ6" s="25">
        <v>511129.41</v>
      </c>
      <c r="AR6" s="25">
        <v>586082.99</v>
      </c>
      <c r="AS6" s="25">
        <v>629454.14</v>
      </c>
      <c r="AT6" s="25">
        <v>683157.58</v>
      </c>
      <c r="AU6" s="25">
        <v>778603.91</v>
      </c>
      <c r="AV6" s="25">
        <v>805988.41</v>
      </c>
      <c r="AW6" s="25">
        <v>866046.48</v>
      </c>
      <c r="AX6" s="25">
        <v>895387.08</v>
      </c>
      <c r="AY6" s="25">
        <v>1043311.18</v>
      </c>
      <c r="AZ6" s="25">
        <v>1249540.23</v>
      </c>
      <c r="BA6" s="25">
        <v>1275032.27</v>
      </c>
      <c r="BB6" s="25">
        <v>1387058.68</v>
      </c>
      <c r="BC6" s="25">
        <v>1471372.43</v>
      </c>
      <c r="BD6" s="36"/>
      <c r="BE6" s="36"/>
    </row>
    <row r="7" ht="15.75" customHeight="1">
      <c r="A7" s="24" t="s">
        <v>9</v>
      </c>
      <c r="B7" s="24" t="s">
        <v>8</v>
      </c>
      <c r="C7" s="25">
        <v>1132.09</v>
      </c>
      <c r="D7" s="25">
        <v>1564.4</v>
      </c>
      <c r="E7" s="25">
        <v>2092.4</v>
      </c>
      <c r="F7" s="25">
        <v>2563.0</v>
      </c>
      <c r="G7" s="25">
        <v>3561.6</v>
      </c>
      <c r="H7" s="25">
        <v>4532.2</v>
      </c>
      <c r="I7" s="25">
        <v>5436.7</v>
      </c>
      <c r="J7" s="25">
        <v>6768.7</v>
      </c>
      <c r="K7" s="25">
        <v>7786.3</v>
      </c>
      <c r="L7" s="25">
        <v>8897.8</v>
      </c>
      <c r="M7" s="25">
        <v>11578.87</v>
      </c>
      <c r="N7" s="25">
        <v>12568.05</v>
      </c>
      <c r="O7" s="25">
        <v>15180.49</v>
      </c>
      <c r="P7" s="25">
        <v>16991.18</v>
      </c>
      <c r="Q7" s="25">
        <v>17621.22</v>
      </c>
      <c r="R7" s="25">
        <v>18910.18</v>
      </c>
      <c r="S7" s="25">
        <v>22721.32</v>
      </c>
      <c r="T7" s="25">
        <v>26997.11</v>
      </c>
      <c r="U7" s="25">
        <v>26163.33</v>
      </c>
      <c r="V7" s="25">
        <v>27813.15</v>
      </c>
      <c r="W7" s="25">
        <v>30800.77</v>
      </c>
      <c r="X7" s="25">
        <v>35650.71</v>
      </c>
      <c r="Y7" s="25">
        <v>37580.26</v>
      </c>
      <c r="Z7" s="25">
        <v>41960.82</v>
      </c>
      <c r="AA7" s="25">
        <v>48754.64</v>
      </c>
      <c r="AB7" s="25">
        <v>52946.12</v>
      </c>
      <c r="AC7" s="25">
        <v>54652.64</v>
      </c>
      <c r="AD7" s="25">
        <v>61182.48</v>
      </c>
      <c r="AE7" s="25">
        <v>80952.94</v>
      </c>
      <c r="AF7" s="25">
        <v>93293.9</v>
      </c>
      <c r="AG7" s="25">
        <v>99748.74</v>
      </c>
      <c r="AH7" s="25">
        <v>101461.88</v>
      </c>
      <c r="AI7" s="25">
        <v>107785.77</v>
      </c>
      <c r="AJ7" s="25">
        <v>124467.44</v>
      </c>
      <c r="AK7" s="25">
        <v>138492.51</v>
      </c>
      <c r="AL7" s="25">
        <v>121204.45</v>
      </c>
      <c r="AM7" s="25">
        <v>144678.18</v>
      </c>
      <c r="AN7" s="25">
        <v>166359.49</v>
      </c>
      <c r="AO7" s="25">
        <v>225732.21</v>
      </c>
      <c r="AP7" s="25">
        <v>257801.04</v>
      </c>
      <c r="AQ7" s="25">
        <v>305339.58</v>
      </c>
      <c r="AR7" s="25">
        <v>285747.65</v>
      </c>
      <c r="AS7" s="25">
        <v>319773.25</v>
      </c>
      <c r="AT7" s="25">
        <v>349861.3</v>
      </c>
      <c r="AU7" s="25">
        <v>403037.41</v>
      </c>
      <c r="AV7" s="25">
        <v>459580.05</v>
      </c>
      <c r="AW7" s="25">
        <v>533707.16</v>
      </c>
      <c r="AX7" s="25">
        <v>548473.94</v>
      </c>
      <c r="AY7" s="25">
        <v>605351.7</v>
      </c>
      <c r="AZ7" s="25">
        <v>699656.76</v>
      </c>
      <c r="BA7" s="25">
        <v>852086.77</v>
      </c>
      <c r="BB7" s="25">
        <v>983889.95</v>
      </c>
      <c r="BC7" s="25">
        <v>1007942.5</v>
      </c>
      <c r="BD7" s="36"/>
      <c r="BE7" s="36"/>
    </row>
    <row r="8" ht="15.75" customHeight="1">
      <c r="A8" s="24" t="s">
        <v>10</v>
      </c>
      <c r="B8" s="24" t="s">
        <v>8</v>
      </c>
      <c r="C8" s="25">
        <v>1576.91</v>
      </c>
      <c r="D8" s="25">
        <v>2285.62</v>
      </c>
      <c r="E8" s="25">
        <v>2580.47</v>
      </c>
      <c r="F8" s="25">
        <v>2921.1</v>
      </c>
      <c r="G8" s="25">
        <v>4215.77</v>
      </c>
      <c r="H8" s="25">
        <v>4811.22</v>
      </c>
      <c r="I8" s="25">
        <v>5424.81</v>
      </c>
      <c r="J8" s="25">
        <v>6628.6</v>
      </c>
      <c r="K8" s="25">
        <v>7726.64</v>
      </c>
      <c r="L8" s="25">
        <v>8698.42</v>
      </c>
      <c r="M8" s="25">
        <v>9946.14</v>
      </c>
      <c r="N8" s="25">
        <v>13710.59</v>
      </c>
      <c r="O8" s="25">
        <v>18592.59</v>
      </c>
      <c r="P8" s="25">
        <v>20280.8</v>
      </c>
      <c r="Q8" s="25">
        <v>22772.59</v>
      </c>
      <c r="R8" s="25">
        <v>27018.8</v>
      </c>
      <c r="S8" s="25">
        <v>31720.69</v>
      </c>
      <c r="T8" s="25">
        <v>36327.31</v>
      </c>
      <c r="U8" s="25">
        <v>39314.22</v>
      </c>
      <c r="V8" s="25">
        <v>44891.36</v>
      </c>
      <c r="W8" s="25">
        <v>50620.17</v>
      </c>
      <c r="X8" s="25">
        <v>54581.22</v>
      </c>
      <c r="Y8" s="25">
        <v>62809.89</v>
      </c>
      <c r="Z8" s="25">
        <v>66562.76</v>
      </c>
      <c r="AA8" s="25">
        <v>75704.24</v>
      </c>
      <c r="AB8" s="25">
        <v>87031.68</v>
      </c>
      <c r="AC8" s="25">
        <v>88488.91</v>
      </c>
      <c r="AD8" s="25">
        <v>92436.63</v>
      </c>
      <c r="AE8" s="25">
        <v>104677.93</v>
      </c>
      <c r="AF8" s="25">
        <v>125066.38</v>
      </c>
      <c r="AG8" s="25">
        <v>138892.56</v>
      </c>
      <c r="AH8" s="25">
        <v>138596.62</v>
      </c>
      <c r="AI8" s="25">
        <v>151035.9</v>
      </c>
      <c r="AJ8" s="25">
        <v>168896.95</v>
      </c>
      <c r="AK8" s="25">
        <v>182946.54</v>
      </c>
      <c r="AL8" s="25">
        <v>198635.89</v>
      </c>
      <c r="AM8" s="25">
        <v>221335.75</v>
      </c>
      <c r="AN8" s="25">
        <v>246175.05</v>
      </c>
      <c r="AO8" s="25">
        <v>286566.89</v>
      </c>
      <c r="AP8" s="25">
        <v>361676.69</v>
      </c>
      <c r="AQ8" s="25">
        <v>409767.01</v>
      </c>
      <c r="AR8" s="25">
        <v>478535.57</v>
      </c>
      <c r="AS8" s="25">
        <v>516010.74</v>
      </c>
      <c r="AT8" s="25">
        <v>568911.14</v>
      </c>
      <c r="AU8" s="25">
        <v>641819.15</v>
      </c>
      <c r="AV8" s="25">
        <v>649440.78</v>
      </c>
      <c r="AW8" s="25">
        <v>675548.45</v>
      </c>
      <c r="AX8" s="25">
        <v>691409.37</v>
      </c>
      <c r="AY8" s="25">
        <v>824007.96</v>
      </c>
      <c r="AZ8" s="25">
        <v>1016208.5</v>
      </c>
      <c r="BA8" s="25">
        <v>1014584.97</v>
      </c>
      <c r="BB8" s="25">
        <v>1103360.63</v>
      </c>
      <c r="BC8" s="25">
        <v>1098095.07</v>
      </c>
      <c r="BD8" s="36"/>
      <c r="BE8" s="36"/>
    </row>
    <row r="9" ht="15.75" customHeight="1">
      <c r="A9" s="24" t="s">
        <v>11</v>
      </c>
      <c r="B9" s="24" t="s">
        <v>8</v>
      </c>
      <c r="C9" s="25">
        <v>15.0</v>
      </c>
      <c r="D9" s="25">
        <v>43.0</v>
      </c>
      <c r="E9" s="25">
        <v>55.0</v>
      </c>
      <c r="F9" s="25">
        <v>75.0</v>
      </c>
      <c r="G9" s="25">
        <v>75.0</v>
      </c>
      <c r="H9" s="25">
        <v>80.0</v>
      </c>
      <c r="I9" s="25">
        <v>90.5</v>
      </c>
      <c r="J9" s="25">
        <v>101.89</v>
      </c>
      <c r="K9" s="25">
        <v>107.38</v>
      </c>
      <c r="L9" s="25">
        <v>109.02</v>
      </c>
      <c r="M9" s="25">
        <v>115.27</v>
      </c>
      <c r="N9" s="25">
        <v>122.14</v>
      </c>
      <c r="O9" s="25">
        <v>132.6</v>
      </c>
      <c r="P9" s="25">
        <v>146.99</v>
      </c>
      <c r="Q9" s="25">
        <v>154.15</v>
      </c>
      <c r="R9" s="25">
        <v>232.1</v>
      </c>
      <c r="S9" s="25">
        <v>216.51</v>
      </c>
      <c r="T9" s="25">
        <v>254.51</v>
      </c>
      <c r="U9" s="25">
        <v>1115.6</v>
      </c>
      <c r="V9" s="25">
        <v>2375.35</v>
      </c>
      <c r="W9" s="25">
        <v>2710.94</v>
      </c>
      <c r="X9" s="25">
        <v>2716.75</v>
      </c>
      <c r="Y9" s="25">
        <v>2717.88</v>
      </c>
      <c r="Z9" s="25">
        <v>2728.2</v>
      </c>
      <c r="AA9" s="25">
        <v>2728.91</v>
      </c>
      <c r="AB9" s="25">
        <v>2737.23</v>
      </c>
      <c r="AC9" s="25">
        <v>3117.11</v>
      </c>
      <c r="AD9" s="25">
        <v>3125.24</v>
      </c>
      <c r="AE9" s="25">
        <v>3133.62</v>
      </c>
      <c r="AF9" s="25">
        <v>3141.95</v>
      </c>
      <c r="AG9" s="25">
        <v>3152.56</v>
      </c>
      <c r="AH9" s="25">
        <v>3168.28</v>
      </c>
      <c r="AI9" s="25">
        <v>3886.92</v>
      </c>
      <c r="AJ9" s="25">
        <v>3889.99</v>
      </c>
      <c r="AK9" s="25">
        <v>-5647.75</v>
      </c>
      <c r="AL9" s="25">
        <v>5679.17</v>
      </c>
      <c r="AM9" s="25">
        <v>9062.37</v>
      </c>
      <c r="AN9" s="25">
        <v>13860.37</v>
      </c>
      <c r="AO9" s="25">
        <v>20390.33</v>
      </c>
      <c r="AP9" s="25">
        <v>30152.91</v>
      </c>
      <c r="AQ9" s="25">
        <v>17205.68</v>
      </c>
      <c r="AR9" s="25">
        <v>37116.2</v>
      </c>
      <c r="AS9" s="25">
        <v>39461.54</v>
      </c>
      <c r="AT9" s="25">
        <v>42037.35</v>
      </c>
      <c r="AU9" s="25">
        <v>49889.66</v>
      </c>
      <c r="AV9" s="25">
        <v>51363.33</v>
      </c>
      <c r="AW9" s="25">
        <v>54556.37</v>
      </c>
      <c r="AX9" s="25">
        <v>50267.95</v>
      </c>
      <c r="AY9" s="25">
        <v>51502.64</v>
      </c>
      <c r="AZ9" s="25">
        <v>47428.45</v>
      </c>
      <c r="BA9" s="25">
        <v>45801.83</v>
      </c>
      <c r="BB9" s="25">
        <v>46278.55</v>
      </c>
      <c r="BC9" s="25">
        <v>12392.93</v>
      </c>
      <c r="BD9" s="36"/>
      <c r="BE9" s="36"/>
    </row>
    <row r="10" ht="15.75" customHeight="1">
      <c r="A10" s="32" t="s">
        <v>12</v>
      </c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</row>
    <row r="11" ht="15.75" customHeight="1">
      <c r="A11" s="24" t="s">
        <v>13</v>
      </c>
      <c r="B11" s="24" t="s">
        <v>8</v>
      </c>
      <c r="C11" s="25">
        <v>30.06</v>
      </c>
      <c r="D11" s="25">
        <v>64.67</v>
      </c>
      <c r="E11" s="25">
        <v>72.89</v>
      </c>
      <c r="F11" s="25">
        <v>88.07</v>
      </c>
      <c r="G11" s="25">
        <v>102.76</v>
      </c>
      <c r="H11" s="25">
        <v>146.15</v>
      </c>
      <c r="I11" s="25">
        <v>190.07</v>
      </c>
      <c r="J11" s="25">
        <v>228.69</v>
      </c>
      <c r="K11" s="25">
        <v>279.26</v>
      </c>
      <c r="L11" s="25">
        <v>249.34</v>
      </c>
      <c r="M11" s="25">
        <v>336.92</v>
      </c>
      <c r="N11" s="25">
        <v>397.88</v>
      </c>
      <c r="O11" s="25">
        <v>408.35</v>
      </c>
      <c r="P11" s="25">
        <v>536.24</v>
      </c>
      <c r="Q11" s="25">
        <v>670.28</v>
      </c>
      <c r="R11" s="25">
        <v>578.95</v>
      </c>
      <c r="S11" s="25">
        <v>665.43</v>
      </c>
      <c r="T11" s="25">
        <v>489.36</v>
      </c>
      <c r="U11" s="25">
        <v>450.32</v>
      </c>
      <c r="V11" s="25">
        <v>934.78</v>
      </c>
      <c r="W11" s="25">
        <v>824.8</v>
      </c>
      <c r="X11" s="25">
        <v>867.42</v>
      </c>
      <c r="Y11" s="25">
        <v>983.03</v>
      </c>
      <c r="Z11" s="25">
        <v>695.62</v>
      </c>
      <c r="AA11" s="25">
        <v>820.83</v>
      </c>
      <c r="AB11" s="25">
        <v>886.8</v>
      </c>
      <c r="AC11" s="25">
        <v>598.05</v>
      </c>
      <c r="AD11" s="25">
        <v>1052.36</v>
      </c>
      <c r="AE11" s="25">
        <v>271.83</v>
      </c>
      <c r="AF11" s="25">
        <v>295.92</v>
      </c>
      <c r="AG11" s="25">
        <v>535.46</v>
      </c>
      <c r="AH11" s="25">
        <v>1505.54</v>
      </c>
      <c r="AI11" s="25">
        <v>1899.8</v>
      </c>
      <c r="AJ11" s="25">
        <v>2728.84</v>
      </c>
      <c r="AK11" s="25">
        <v>2914.41</v>
      </c>
      <c r="AL11" s="25">
        <v>1399.95</v>
      </c>
      <c r="AM11" s="25">
        <v>3646.71</v>
      </c>
      <c r="AN11" s="25">
        <v>4490.98</v>
      </c>
      <c r="AO11" s="25">
        <v>7067.21</v>
      </c>
      <c r="AP11" s="25">
        <v>8480.3</v>
      </c>
      <c r="AQ11" s="25">
        <v>6739.96</v>
      </c>
      <c r="AR11" s="25">
        <v>1976.85</v>
      </c>
      <c r="AS11" s="25">
        <v>-2249.84</v>
      </c>
      <c r="AT11" s="25">
        <v>-3327.53</v>
      </c>
      <c r="AU11" s="25">
        <v>566.6</v>
      </c>
      <c r="AV11" s="25">
        <v>4051.94</v>
      </c>
      <c r="AW11" s="25">
        <v>7516.57</v>
      </c>
      <c r="AX11" s="25">
        <v>4542.99</v>
      </c>
      <c r="AY11" s="25">
        <v>1651.51</v>
      </c>
      <c r="AZ11" s="25">
        <v>-820.51</v>
      </c>
      <c r="BA11" s="25">
        <v>315.84</v>
      </c>
      <c r="BB11" s="25">
        <v>2786.82</v>
      </c>
      <c r="BC11" s="25">
        <v>-30432.92</v>
      </c>
      <c r="BD11" s="36"/>
      <c r="BE11" s="36"/>
    </row>
    <row r="12" ht="15.75" customHeight="1">
      <c r="A12" s="24" t="s">
        <v>14</v>
      </c>
      <c r="B12" s="24" t="s">
        <v>8</v>
      </c>
      <c r="C12" s="25">
        <v>11.72</v>
      </c>
      <c r="D12" s="25">
        <v>31.45</v>
      </c>
      <c r="E12" s="25">
        <v>40.14</v>
      </c>
      <c r="F12" s="25">
        <v>88.69</v>
      </c>
      <c r="G12" s="25">
        <v>112.34</v>
      </c>
      <c r="H12" s="25">
        <v>98.07</v>
      </c>
      <c r="I12" s="25">
        <v>75.53</v>
      </c>
      <c r="J12" s="25">
        <v>108.65</v>
      </c>
      <c r="K12" s="25">
        <v>146.47</v>
      </c>
      <c r="L12" s="25">
        <v>169.09</v>
      </c>
      <c r="M12" s="25">
        <v>161.51</v>
      </c>
      <c r="N12" s="25">
        <v>167.74</v>
      </c>
      <c r="O12" s="25">
        <v>264.53</v>
      </c>
      <c r="P12" s="25">
        <v>318.82</v>
      </c>
      <c r="Q12" s="25">
        <v>237.19</v>
      </c>
      <c r="R12" s="25">
        <v>314.07</v>
      </c>
      <c r="S12" s="25">
        <v>393.57</v>
      </c>
      <c r="T12" s="25">
        <v>564.68</v>
      </c>
      <c r="U12" s="25">
        <v>536.35</v>
      </c>
      <c r="V12" s="25">
        <v>241.97</v>
      </c>
      <c r="W12" s="25">
        <v>445.07</v>
      </c>
      <c r="X12" s="25">
        <v>521.11</v>
      </c>
      <c r="Y12" s="25">
        <v>606.73</v>
      </c>
      <c r="Z12" s="25">
        <v>962.18</v>
      </c>
      <c r="AA12" s="25">
        <v>864.2</v>
      </c>
      <c r="AB12" s="25">
        <v>934.15</v>
      </c>
      <c r="AC12" s="25">
        <v>1369.07</v>
      </c>
      <c r="AD12" s="25">
        <v>1179.47</v>
      </c>
      <c r="AE12" s="25">
        <v>2995.3</v>
      </c>
      <c r="AF12" s="25">
        <v>2765.22</v>
      </c>
      <c r="AG12" s="25">
        <v>3461.44</v>
      </c>
      <c r="AH12" s="25">
        <v>3593.52</v>
      </c>
      <c r="AI12" s="25">
        <v>3535.75</v>
      </c>
      <c r="AJ12" s="25">
        <v>4239.71</v>
      </c>
      <c r="AK12" s="25">
        <v>5426.39</v>
      </c>
      <c r="AL12" s="25">
        <v>3256.06</v>
      </c>
      <c r="AM12" s="25">
        <v>7968.84</v>
      </c>
      <c r="AN12" s="25">
        <v>9206.15</v>
      </c>
      <c r="AO12" s="25">
        <v>11586.39</v>
      </c>
      <c r="AP12" s="25">
        <v>14369.42</v>
      </c>
      <c r="AQ12" s="25">
        <v>15276.51</v>
      </c>
      <c r="AR12" s="25">
        <v>18882.17</v>
      </c>
      <c r="AS12" s="25">
        <v>22658.58</v>
      </c>
      <c r="AT12" s="25">
        <v>25023.65</v>
      </c>
      <c r="AU12" s="25">
        <v>22630.19</v>
      </c>
      <c r="AV12" s="25">
        <v>21326.36</v>
      </c>
      <c r="AW12" s="25">
        <v>16216.19</v>
      </c>
      <c r="AX12" s="25">
        <v>16589.33</v>
      </c>
      <c r="AY12" s="25">
        <v>4058.41</v>
      </c>
      <c r="AZ12" s="25">
        <v>5949.31</v>
      </c>
      <c r="BA12" s="25">
        <v>7844.75</v>
      </c>
      <c r="BB12" s="25">
        <v>4921.97</v>
      </c>
      <c r="BC12" s="25">
        <v>5624.84</v>
      </c>
      <c r="BD12" s="36"/>
      <c r="BE12" s="36"/>
    </row>
    <row r="13" ht="15.75" customHeight="1">
      <c r="A13" s="24" t="s">
        <v>15</v>
      </c>
      <c r="B13" s="24" t="s">
        <v>8</v>
      </c>
      <c r="C13" s="25">
        <v>10.58</v>
      </c>
      <c r="D13" s="25">
        <v>22.04</v>
      </c>
      <c r="E13" s="25">
        <v>20.5</v>
      </c>
      <c r="F13" s="25">
        <v>35.0</v>
      </c>
      <c r="G13" s="25">
        <v>0.6</v>
      </c>
      <c r="H13" s="25">
        <v>33.0</v>
      </c>
      <c r="I13" s="25">
        <v>29.75</v>
      </c>
      <c r="J13" s="25">
        <v>36.6</v>
      </c>
      <c r="K13" s="25">
        <v>37.66</v>
      </c>
      <c r="L13" s="25">
        <v>0.98</v>
      </c>
      <c r="M13" s="39">
        <v>62.85</v>
      </c>
      <c r="N13" s="39">
        <v>70.7</v>
      </c>
      <c r="O13" s="25">
        <v>81.67</v>
      </c>
      <c r="P13" s="25">
        <v>52.81</v>
      </c>
      <c r="Q13" s="25">
        <v>93.54</v>
      </c>
      <c r="R13" s="25">
        <v>88.21</v>
      </c>
      <c r="S13" s="25">
        <v>54.72</v>
      </c>
      <c r="T13" s="25">
        <v>59.04</v>
      </c>
      <c r="U13" s="25">
        <v>48.85</v>
      </c>
      <c r="V13" s="25">
        <v>1.5</v>
      </c>
      <c r="W13" s="25">
        <v>1.67</v>
      </c>
      <c r="X13" s="25">
        <v>6.83</v>
      </c>
      <c r="Y13" s="25">
        <v>2.59</v>
      </c>
      <c r="Z13" s="25">
        <v>12.58</v>
      </c>
      <c r="AA13" s="25">
        <v>3.08</v>
      </c>
      <c r="AB13" s="25">
        <v>10.42</v>
      </c>
      <c r="AC13" s="25">
        <v>20.21</v>
      </c>
      <c r="AD13" s="25">
        <v>10.29</v>
      </c>
      <c r="AE13" s="25">
        <v>11.22</v>
      </c>
      <c r="AF13" s="25">
        <v>11.24</v>
      </c>
      <c r="AG13" s="25">
        <v>14.8</v>
      </c>
      <c r="AH13" s="25">
        <v>20.86</v>
      </c>
      <c r="AI13" s="25">
        <v>0.0</v>
      </c>
      <c r="AJ13" s="25">
        <v>0.0</v>
      </c>
      <c r="AK13" s="25">
        <v>-9968.18</v>
      </c>
      <c r="AL13" s="25">
        <v>15.48</v>
      </c>
      <c r="AM13" s="25">
        <v>3145.38</v>
      </c>
      <c r="AN13" s="25">
        <v>2981.87</v>
      </c>
      <c r="AO13" s="25">
        <v>4907.97</v>
      </c>
      <c r="AP13" s="25">
        <v>4444.91</v>
      </c>
      <c r="AQ13" s="25">
        <v>-16280.34</v>
      </c>
      <c r="AR13" s="25">
        <v>9551.39</v>
      </c>
      <c r="AS13" s="25">
        <v>3813.15</v>
      </c>
      <c r="AT13" s="25">
        <v>4807.88</v>
      </c>
      <c r="AU13" s="25">
        <v>2605.48</v>
      </c>
      <c r="AV13" s="25">
        <v>2686.5</v>
      </c>
      <c r="AW13" s="25">
        <v>248.97</v>
      </c>
      <c r="AX13" s="25">
        <v>246.44</v>
      </c>
      <c r="AY13" s="25">
        <v>143.18</v>
      </c>
      <c r="AZ13" s="25">
        <v>3003.19</v>
      </c>
      <c r="BA13" s="25">
        <v>1133.43</v>
      </c>
      <c r="BB13" s="25">
        <v>553.1</v>
      </c>
      <c r="BC13" s="25">
        <v>-30706.13</v>
      </c>
      <c r="BD13" s="36"/>
      <c r="BE13" s="36"/>
    </row>
    <row r="14" ht="15.75" customHeight="1">
      <c r="A14" s="32" t="s">
        <v>16</v>
      </c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</row>
    <row r="15" ht="15.75" customHeight="1">
      <c r="A15" s="24" t="s">
        <v>17</v>
      </c>
      <c r="B15" s="24" t="s">
        <v>18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41">
        <v>0.6</v>
      </c>
      <c r="AM15" s="41">
        <v>121.26</v>
      </c>
      <c r="AN15" s="41">
        <v>78.02</v>
      </c>
      <c r="AO15" s="41">
        <v>98.16</v>
      </c>
      <c r="AP15" s="41">
        <v>60.45</v>
      </c>
      <c r="AQ15" s="41">
        <v>-148.0</v>
      </c>
      <c r="AR15" s="41">
        <v>86.31</v>
      </c>
      <c r="AS15" s="41">
        <v>19.92</v>
      </c>
      <c r="AT15" s="41">
        <v>25.12</v>
      </c>
      <c r="AU15" s="41">
        <v>13.61</v>
      </c>
      <c r="AV15" s="41">
        <v>14.04</v>
      </c>
      <c r="AW15" s="41">
        <v>1.17</v>
      </c>
      <c r="AX15" s="41">
        <v>1.06</v>
      </c>
      <c r="AY15" s="41">
        <v>0.62</v>
      </c>
      <c r="AZ15" s="41">
        <v>12.98</v>
      </c>
      <c r="BA15" s="41">
        <v>4.9</v>
      </c>
      <c r="BB15" s="41">
        <v>2.39</v>
      </c>
      <c r="BC15" s="41">
        <v>-132.7</v>
      </c>
      <c r="BD15" s="37"/>
      <c r="BE15" s="37"/>
    </row>
    <row r="16" ht="15.75" customHeight="1">
      <c r="A16" s="24" t="s">
        <v>19</v>
      </c>
      <c r="B16" s="24" t="s">
        <v>20</v>
      </c>
      <c r="C16" s="38">
        <f t="shared" ref="C16:BC16" si="2">IFERROR(C13/C6,"")</f>
        <v>0.003562637429</v>
      </c>
      <c r="D16" s="38">
        <f t="shared" si="2"/>
        <v>0.00557294643</v>
      </c>
      <c r="E16" s="38">
        <f t="shared" si="2"/>
        <v>0.004557429165</v>
      </c>
      <c r="F16" s="38">
        <f t="shared" si="2"/>
        <v>0.005543807962</v>
      </c>
      <c r="G16" s="38">
        <f t="shared" si="2"/>
        <v>0.00007125188372</v>
      </c>
      <c r="H16" s="38">
        <f t="shared" si="2"/>
        <v>0.003301921718</v>
      </c>
      <c r="I16" s="38">
        <f t="shared" si="2"/>
        <v>0.002644888786</v>
      </c>
      <c r="J16" s="38">
        <f t="shared" si="2"/>
        <v>0.002533476851</v>
      </c>
      <c r="K16" s="38">
        <f t="shared" si="2"/>
        <v>0.002274223256</v>
      </c>
      <c r="L16" s="38">
        <f t="shared" si="2"/>
        <v>0.0000577163524</v>
      </c>
      <c r="M16" s="42">
        <f t="shared" si="2"/>
        <v>0.003184497148</v>
      </c>
      <c r="N16" s="42">
        <f t="shared" si="2"/>
        <v>0.002888676063</v>
      </c>
      <c r="O16" s="38">
        <f t="shared" si="2"/>
        <v>0.00247541633</v>
      </c>
      <c r="P16" s="38">
        <f t="shared" si="2"/>
        <v>0.001480453583</v>
      </c>
      <c r="Q16" s="38">
        <f t="shared" si="2"/>
        <v>0.002624113794</v>
      </c>
      <c r="R16" s="38">
        <f t="shared" si="2"/>
        <v>0.002152702006</v>
      </c>
      <c r="S16" s="42">
        <f t="shared" si="2"/>
        <v>0.001147746331</v>
      </c>
      <c r="T16" s="42">
        <f t="shared" si="2"/>
        <v>0.001082788378</v>
      </c>
      <c r="U16" s="38">
        <f t="shared" si="2"/>
        <v>0.0007603744809</v>
      </c>
      <c r="V16" s="38">
        <f t="shared" si="2"/>
        <v>0.00002210529992</v>
      </c>
      <c r="W16" s="38">
        <f t="shared" si="2"/>
        <v>0.00002300084442</v>
      </c>
      <c r="X16" s="38">
        <f t="shared" si="2"/>
        <v>0.00008697111566</v>
      </c>
      <c r="Y16" s="38">
        <f t="shared" si="2"/>
        <v>0.0000295799127</v>
      </c>
      <c r="Z16" s="38">
        <f t="shared" si="2"/>
        <v>0.0001316097134</v>
      </c>
      <c r="AA16" s="38">
        <f t="shared" si="2"/>
        <v>0.00003068961559</v>
      </c>
      <c r="AB16" s="38">
        <f t="shared" si="2"/>
        <v>0.00009221706552</v>
      </c>
      <c r="AC16" s="38">
        <f t="shared" si="2"/>
        <v>0.000164615382</v>
      </c>
      <c r="AD16" s="38">
        <f t="shared" si="2"/>
        <v>0.00008173934982</v>
      </c>
      <c r="AE16" s="38">
        <f t="shared" si="2"/>
        <v>0.00008726906851</v>
      </c>
      <c r="AF16" s="38">
        <f t="shared" si="2"/>
        <v>0.00007392704821</v>
      </c>
      <c r="AG16" s="38">
        <f t="shared" si="2"/>
        <v>0.00008797236479</v>
      </c>
      <c r="AH16" s="38">
        <f t="shared" si="2"/>
        <v>0.0001334259938</v>
      </c>
      <c r="AI16" s="38">
        <f t="shared" si="2"/>
        <v>0</v>
      </c>
      <c r="AJ16" s="38">
        <f t="shared" si="2"/>
        <v>0</v>
      </c>
      <c r="AK16" s="38">
        <f t="shared" si="2"/>
        <v>-0.04687292293</v>
      </c>
      <c r="AL16" s="38">
        <f t="shared" si="2"/>
        <v>0.00006368059001</v>
      </c>
      <c r="AM16" s="38">
        <f t="shared" si="2"/>
        <v>0.01177351321</v>
      </c>
      <c r="AN16" s="38">
        <f t="shared" si="2"/>
        <v>0.01015406174</v>
      </c>
      <c r="AO16" s="38">
        <f t="shared" si="2"/>
        <v>0.01421636048</v>
      </c>
      <c r="AP16" s="38">
        <f t="shared" si="2"/>
        <v>0.01009313644</v>
      </c>
      <c r="AQ16" s="38">
        <f t="shared" si="2"/>
        <v>-0.03185169877</v>
      </c>
      <c r="AR16" s="38">
        <f t="shared" si="2"/>
        <v>0.01629699234</v>
      </c>
      <c r="AS16" s="38">
        <f t="shared" si="2"/>
        <v>0.006057867854</v>
      </c>
      <c r="AT16" s="38">
        <f t="shared" si="2"/>
        <v>0.007037732056</v>
      </c>
      <c r="AU16" s="38">
        <f t="shared" si="2"/>
        <v>0.003346348466</v>
      </c>
      <c r="AV16" s="38">
        <f t="shared" si="2"/>
        <v>0.003333174481</v>
      </c>
      <c r="AW16" s="38">
        <f t="shared" si="2"/>
        <v>0.0002874787968</v>
      </c>
      <c r="AX16" s="38">
        <f t="shared" si="2"/>
        <v>0.0002752329194</v>
      </c>
      <c r="AY16" s="38">
        <f t="shared" si="2"/>
        <v>0.0001372361408</v>
      </c>
      <c r="AZ16" s="38">
        <f t="shared" si="2"/>
        <v>0.002403436022</v>
      </c>
      <c r="BA16" s="38">
        <f t="shared" si="2"/>
        <v>0.0008889422069</v>
      </c>
      <c r="BB16" s="38">
        <f t="shared" si="2"/>
        <v>0.0003987574628</v>
      </c>
      <c r="BC16" s="38">
        <f t="shared" si="2"/>
        <v>-0.02086903993</v>
      </c>
      <c r="BD16" s="37"/>
      <c r="BE16" s="37"/>
    </row>
    <row r="17" ht="15.75" customHeight="1">
      <c r="A17" s="24" t="s">
        <v>21</v>
      </c>
      <c r="B17" s="24" t="s">
        <v>20</v>
      </c>
      <c r="C17" s="38">
        <f t="shared" ref="C17:BC17" si="3">IFERROR(C13/C9,"")</f>
        <v>0.7053333333</v>
      </c>
      <c r="D17" s="38">
        <f t="shared" si="3"/>
        <v>0.5125581395</v>
      </c>
      <c r="E17" s="38">
        <f t="shared" si="3"/>
        <v>0.3727272727</v>
      </c>
      <c r="F17" s="38">
        <f t="shared" si="3"/>
        <v>0.4666666667</v>
      </c>
      <c r="G17" s="38">
        <f t="shared" si="3"/>
        <v>0.008</v>
      </c>
      <c r="H17" s="38">
        <f t="shared" si="3"/>
        <v>0.4125</v>
      </c>
      <c r="I17" s="38">
        <f t="shared" si="3"/>
        <v>0.3287292818</v>
      </c>
      <c r="J17" s="38">
        <f t="shared" si="3"/>
        <v>0.3592109137</v>
      </c>
      <c r="K17" s="38">
        <f t="shared" si="3"/>
        <v>0.3507170795</v>
      </c>
      <c r="L17" s="38">
        <f t="shared" si="3"/>
        <v>0.008989176298</v>
      </c>
      <c r="M17" s="42">
        <f t="shared" si="3"/>
        <v>0.5452416067</v>
      </c>
      <c r="N17" s="42">
        <f t="shared" si="3"/>
        <v>0.5788439496</v>
      </c>
      <c r="O17" s="38">
        <f t="shared" si="3"/>
        <v>0.6159125189</v>
      </c>
      <c r="P17" s="38">
        <f t="shared" si="3"/>
        <v>0.3592761412</v>
      </c>
      <c r="Q17" s="38">
        <f t="shared" si="3"/>
        <v>0.6068115472</v>
      </c>
      <c r="R17" s="38">
        <f t="shared" si="3"/>
        <v>0.3800517019</v>
      </c>
      <c r="S17" s="42">
        <f t="shared" si="3"/>
        <v>0.2527365942</v>
      </c>
      <c r="T17" s="42">
        <f t="shared" si="3"/>
        <v>0.231975168</v>
      </c>
      <c r="U17" s="38">
        <f t="shared" si="3"/>
        <v>0.04378809609</v>
      </c>
      <c r="V17" s="38">
        <f t="shared" si="3"/>
        <v>0.0006314858863</v>
      </c>
      <c r="W17" s="38">
        <f t="shared" si="3"/>
        <v>0.0006160224867</v>
      </c>
      <c r="X17" s="38">
        <f t="shared" si="3"/>
        <v>0.002514033312</v>
      </c>
      <c r="Y17" s="38">
        <f t="shared" si="3"/>
        <v>0.0009529486217</v>
      </c>
      <c r="Z17" s="38">
        <f t="shared" si="3"/>
        <v>0.004611098893</v>
      </c>
      <c r="AA17" s="38">
        <f t="shared" si="3"/>
        <v>0.001128655764</v>
      </c>
      <c r="AB17" s="38">
        <f t="shared" si="3"/>
        <v>0.003806768156</v>
      </c>
      <c r="AC17" s="38">
        <f t="shared" si="3"/>
        <v>0.006483569717</v>
      </c>
      <c r="AD17" s="38">
        <f t="shared" si="3"/>
        <v>0.003292547132</v>
      </c>
      <c r="AE17" s="38">
        <f t="shared" si="3"/>
        <v>0.003580523484</v>
      </c>
      <c r="AF17" s="38">
        <f t="shared" si="3"/>
        <v>0.003577396203</v>
      </c>
      <c r="AG17" s="38">
        <f t="shared" si="3"/>
        <v>0.004694597407</v>
      </c>
      <c r="AH17" s="38">
        <f t="shared" si="3"/>
        <v>0.006584014039</v>
      </c>
      <c r="AI17" s="38">
        <f t="shared" si="3"/>
        <v>0</v>
      </c>
      <c r="AJ17" s="38">
        <f t="shared" si="3"/>
        <v>0</v>
      </c>
      <c r="AK17" s="38">
        <f t="shared" si="3"/>
        <v>1.764982515</v>
      </c>
      <c r="AL17" s="38">
        <f t="shared" si="3"/>
        <v>0.002725750418</v>
      </c>
      <c r="AM17" s="38">
        <f t="shared" si="3"/>
        <v>0.3470813926</v>
      </c>
      <c r="AN17" s="38">
        <f t="shared" si="3"/>
        <v>0.2151363925</v>
      </c>
      <c r="AO17" s="38">
        <f t="shared" si="3"/>
        <v>0.2407008616</v>
      </c>
      <c r="AP17" s="38">
        <f t="shared" si="3"/>
        <v>0.1474123061</v>
      </c>
      <c r="AQ17" s="38">
        <f t="shared" si="3"/>
        <v>-0.9462189231</v>
      </c>
      <c r="AR17" s="38">
        <f t="shared" si="3"/>
        <v>0.2573374968</v>
      </c>
      <c r="AS17" s="38">
        <f t="shared" si="3"/>
        <v>0.0966295284</v>
      </c>
      <c r="AT17" s="38">
        <f t="shared" si="3"/>
        <v>0.1143716243</v>
      </c>
      <c r="AU17" s="38">
        <f t="shared" si="3"/>
        <v>0.0522248498</v>
      </c>
      <c r="AV17" s="38">
        <f t="shared" si="3"/>
        <v>0.05230385179</v>
      </c>
      <c r="AW17" s="38">
        <f t="shared" si="3"/>
        <v>0.00456353676</v>
      </c>
      <c r="AX17" s="38">
        <f t="shared" si="3"/>
        <v>0.004902527356</v>
      </c>
      <c r="AY17" s="38">
        <f t="shared" si="3"/>
        <v>0.002780051663</v>
      </c>
      <c r="AZ17" s="38">
        <f t="shared" si="3"/>
        <v>0.0633204332</v>
      </c>
      <c r="BA17" s="38">
        <f t="shared" si="3"/>
        <v>0.02474639114</v>
      </c>
      <c r="BB17" s="38">
        <f t="shared" si="3"/>
        <v>0.01195154126</v>
      </c>
      <c r="BC17" s="38">
        <f t="shared" si="3"/>
        <v>-2.477713503</v>
      </c>
      <c r="BD17" s="37"/>
      <c r="BE17" s="37"/>
    </row>
    <row r="18" ht="15.75" customHeight="1">
      <c r="A18" s="32" t="s">
        <v>22</v>
      </c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</row>
    <row r="19" ht="15.75" customHeight="1">
      <c r="A19" s="24" t="s">
        <v>23</v>
      </c>
      <c r="B19" s="24" t="s">
        <v>20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40">
        <v>0.2269</v>
      </c>
      <c r="AZ19" s="40">
        <v>0.1761</v>
      </c>
      <c r="BA19" s="40">
        <v>0.1784</v>
      </c>
      <c r="BB19" s="40">
        <v>0.2542</v>
      </c>
      <c r="BC19" s="40">
        <v>0.6753</v>
      </c>
      <c r="BD19" s="37"/>
      <c r="BE19" s="37"/>
    </row>
    <row r="20" ht="15.75" customHeight="1">
      <c r="A20" s="24" t="s">
        <v>24</v>
      </c>
      <c r="B20" s="24" t="s">
        <v>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41">
        <v>137362.19</v>
      </c>
      <c r="AZ20" s="41">
        <v>123199.92</v>
      </c>
      <c r="BA20" s="41">
        <v>151975.17</v>
      </c>
      <c r="BB20" s="41">
        <v>250088.86</v>
      </c>
      <c r="BC20" s="41">
        <v>680658.64</v>
      </c>
      <c r="BD20" s="37"/>
      <c r="BE20" s="37"/>
    </row>
    <row r="21" ht="15.75" customHeight="1">
      <c r="A21" s="24" t="s">
        <v>25</v>
      </c>
      <c r="B21" s="24" t="s">
        <v>20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40">
        <v>0.3373</v>
      </c>
      <c r="AZ21" s="40">
        <v>0.4298</v>
      </c>
      <c r="BA21" s="40">
        <v>0.3769</v>
      </c>
      <c r="BB21" s="40">
        <v>0.2414</v>
      </c>
      <c r="BC21" s="40">
        <v>0.095</v>
      </c>
      <c r="BD21" s="37"/>
      <c r="BE21" s="37"/>
    </row>
    <row r="22" ht="15.75" customHeight="1">
      <c r="A22" s="24" t="s">
        <v>26</v>
      </c>
      <c r="B22" s="24" t="s">
        <v>20</v>
      </c>
      <c r="C22" s="38">
        <f t="shared" ref="C22:BC22" si="4">IFERROR(C7/C8,"")</f>
        <v>0.7179166852</v>
      </c>
      <c r="D22" s="38">
        <f t="shared" si="4"/>
        <v>0.6844532337</v>
      </c>
      <c r="E22" s="38">
        <f t="shared" si="4"/>
        <v>0.8108600371</v>
      </c>
      <c r="F22" s="38">
        <f t="shared" si="4"/>
        <v>0.8774091952</v>
      </c>
      <c r="G22" s="38">
        <f t="shared" si="4"/>
        <v>0.8448278725</v>
      </c>
      <c r="H22" s="38">
        <f t="shared" si="4"/>
        <v>0.9420063934</v>
      </c>
      <c r="I22" s="38">
        <f t="shared" si="4"/>
        <v>1.002191782</v>
      </c>
      <c r="J22" s="38">
        <f t="shared" si="4"/>
        <v>1.021135685</v>
      </c>
      <c r="K22" s="38">
        <f t="shared" si="4"/>
        <v>1.007721338</v>
      </c>
      <c r="L22" s="38">
        <f t="shared" si="4"/>
        <v>1.022921404</v>
      </c>
      <c r="M22" s="38">
        <f t="shared" si="4"/>
        <v>1.16415715</v>
      </c>
      <c r="N22" s="38">
        <f t="shared" si="4"/>
        <v>0.9166673352</v>
      </c>
      <c r="O22" s="38">
        <f t="shared" si="4"/>
        <v>0.8164806517</v>
      </c>
      <c r="P22" s="38">
        <f t="shared" si="4"/>
        <v>0.8377963394</v>
      </c>
      <c r="Q22" s="38">
        <f t="shared" si="4"/>
        <v>0.7737907722</v>
      </c>
      <c r="R22" s="38">
        <f t="shared" si="4"/>
        <v>0.6998897064</v>
      </c>
      <c r="S22" s="42">
        <f t="shared" si="4"/>
        <v>0.7162933719</v>
      </c>
      <c r="T22" s="42">
        <f t="shared" si="4"/>
        <v>0.7431629262</v>
      </c>
      <c r="U22" s="38">
        <f t="shared" si="4"/>
        <v>0.6654927912</v>
      </c>
      <c r="V22" s="38">
        <f t="shared" si="4"/>
        <v>0.6195657694</v>
      </c>
      <c r="W22" s="38">
        <f t="shared" si="4"/>
        <v>0.608468324</v>
      </c>
      <c r="X22" s="38">
        <f t="shared" si="4"/>
        <v>0.6531680677</v>
      </c>
      <c r="Y22" s="38">
        <f t="shared" si="4"/>
        <v>0.598317558</v>
      </c>
      <c r="Z22" s="38">
        <f t="shared" si="4"/>
        <v>0.6303948334</v>
      </c>
      <c r="AA22" s="38">
        <f t="shared" si="4"/>
        <v>0.6440146549</v>
      </c>
      <c r="AB22" s="38">
        <f t="shared" si="4"/>
        <v>0.608354567</v>
      </c>
      <c r="AC22" s="38">
        <f t="shared" si="4"/>
        <v>0.6176213494</v>
      </c>
      <c r="AD22" s="38">
        <f t="shared" si="4"/>
        <v>0.6618856616</v>
      </c>
      <c r="AE22" s="38">
        <f t="shared" si="4"/>
        <v>0.7733525109</v>
      </c>
      <c r="AF22" s="38">
        <f t="shared" si="4"/>
        <v>0.745955068</v>
      </c>
      <c r="AG22" s="38">
        <f t="shared" si="4"/>
        <v>0.7181719453</v>
      </c>
      <c r="AH22" s="38">
        <f t="shared" si="4"/>
        <v>0.7320660489</v>
      </c>
      <c r="AI22" s="38">
        <f t="shared" si="4"/>
        <v>0.7136433788</v>
      </c>
      <c r="AJ22" s="38">
        <f t="shared" si="4"/>
        <v>0.7369430887</v>
      </c>
      <c r="AK22" s="38">
        <f t="shared" si="4"/>
        <v>0.7570108186</v>
      </c>
      <c r="AL22" s="38">
        <f t="shared" si="4"/>
        <v>0.6101840408</v>
      </c>
      <c r="AM22" s="38">
        <f t="shared" si="4"/>
        <v>0.6536593388</v>
      </c>
      <c r="AN22" s="38">
        <f t="shared" si="4"/>
        <v>0.6757772163</v>
      </c>
      <c r="AO22" s="38">
        <f t="shared" si="4"/>
        <v>0.7877121115</v>
      </c>
      <c r="AP22" s="38">
        <f t="shared" si="4"/>
        <v>0.7127941809</v>
      </c>
      <c r="AQ22" s="38">
        <f t="shared" si="4"/>
        <v>0.7451541304</v>
      </c>
      <c r="AR22" s="38">
        <f t="shared" si="4"/>
        <v>0.5971293837</v>
      </c>
      <c r="AS22" s="38">
        <f t="shared" si="4"/>
        <v>0.6197027023</v>
      </c>
      <c r="AT22" s="38">
        <f t="shared" si="4"/>
        <v>0.614966513</v>
      </c>
      <c r="AU22" s="38">
        <f t="shared" si="4"/>
        <v>0.627961023</v>
      </c>
      <c r="AV22" s="38">
        <f t="shared" si="4"/>
        <v>0.7076550536</v>
      </c>
      <c r="AW22" s="38">
        <f t="shared" si="4"/>
        <v>0.7900353557</v>
      </c>
      <c r="AX22" s="38">
        <f t="shared" si="4"/>
        <v>0.7932694635</v>
      </c>
      <c r="AY22" s="38">
        <f t="shared" si="4"/>
        <v>0.7346430246</v>
      </c>
      <c r="AZ22" s="38">
        <f t="shared" si="4"/>
        <v>0.6884972523</v>
      </c>
      <c r="BA22" s="38">
        <f t="shared" si="4"/>
        <v>0.8398377614</v>
      </c>
      <c r="BB22" s="38">
        <f t="shared" si="4"/>
        <v>0.8917210958</v>
      </c>
      <c r="BC22" s="38">
        <f t="shared" si="4"/>
        <v>0.9179009428</v>
      </c>
      <c r="BD22" s="37"/>
      <c r="BE22" s="37"/>
    </row>
    <row r="23" ht="15.75" customHeight="1">
      <c r="A23" s="32" t="s">
        <v>27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</row>
    <row r="24" ht="15.75" customHeight="1">
      <c r="A24" s="24" t="s">
        <v>28</v>
      </c>
      <c r="B24" s="24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40">
        <v>0.1005</v>
      </c>
      <c r="AZ24" s="40">
        <v>0.0898</v>
      </c>
      <c r="BA24" s="40">
        <v>0.0783</v>
      </c>
      <c r="BB24" s="40">
        <v>0.0675</v>
      </c>
      <c r="BC24" s="40">
        <v>0.0093</v>
      </c>
      <c r="BD24" s="37"/>
      <c r="BE24" s="37"/>
    </row>
    <row r="25" ht="15.75" customHeight="1">
      <c r="A25" s="24" t="s">
        <v>29</v>
      </c>
      <c r="B25" s="24" t="s">
        <v>20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40">
        <v>0.8214</v>
      </c>
      <c r="AZ25" s="40">
        <v>0.847</v>
      </c>
      <c r="BA25" s="40">
        <v>0.8638</v>
      </c>
      <c r="BB25" s="40">
        <v>0.9228</v>
      </c>
      <c r="BC25" s="40">
        <v>1.318</v>
      </c>
      <c r="BD25" s="37"/>
      <c r="BE25" s="37"/>
    </row>
    <row r="26" ht="15.75" customHeight="1">
      <c r="A26" s="32" t="s">
        <v>30</v>
      </c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</row>
    <row r="27" ht="15.75" customHeight="1">
      <c r="A27" s="24" t="s">
        <v>31</v>
      </c>
      <c r="B27" s="24" t="s">
        <v>20</v>
      </c>
      <c r="C27" s="38" t="str">
        <f t="shared" ref="C27:BE27" si="5">IF(OR(C20="",C6="",C6=0),"",C20/C6)</f>
        <v/>
      </c>
      <c r="D27" s="38" t="str">
        <f t="shared" si="5"/>
        <v/>
      </c>
      <c r="E27" s="38" t="str">
        <f t="shared" si="5"/>
        <v/>
      </c>
      <c r="F27" s="38" t="str">
        <f t="shared" si="5"/>
        <v/>
      </c>
      <c r="G27" s="38" t="str">
        <f t="shared" si="5"/>
        <v/>
      </c>
      <c r="H27" s="38" t="str">
        <f t="shared" si="5"/>
        <v/>
      </c>
      <c r="I27" s="38" t="str">
        <f t="shared" si="5"/>
        <v/>
      </c>
      <c r="J27" s="38" t="str">
        <f t="shared" si="5"/>
        <v/>
      </c>
      <c r="K27" s="38" t="str">
        <f t="shared" si="5"/>
        <v/>
      </c>
      <c r="L27" s="38" t="str">
        <f t="shared" si="5"/>
        <v/>
      </c>
      <c r="M27" s="38" t="str">
        <f t="shared" si="5"/>
        <v/>
      </c>
      <c r="N27" s="38" t="str">
        <f t="shared" si="5"/>
        <v/>
      </c>
      <c r="O27" s="38" t="str">
        <f t="shared" si="5"/>
        <v/>
      </c>
      <c r="P27" s="38" t="str">
        <f t="shared" si="5"/>
        <v/>
      </c>
      <c r="Q27" s="38" t="str">
        <f t="shared" si="5"/>
        <v/>
      </c>
      <c r="R27" s="38" t="str">
        <f t="shared" si="5"/>
        <v/>
      </c>
      <c r="S27" s="38" t="str">
        <f t="shared" si="5"/>
        <v/>
      </c>
      <c r="T27" s="38" t="str">
        <f t="shared" si="5"/>
        <v/>
      </c>
      <c r="U27" s="38" t="str">
        <f t="shared" si="5"/>
        <v/>
      </c>
      <c r="V27" s="38" t="str">
        <f t="shared" si="5"/>
        <v/>
      </c>
      <c r="W27" s="38" t="str">
        <f t="shared" si="5"/>
        <v/>
      </c>
      <c r="X27" s="38" t="str">
        <f t="shared" si="5"/>
        <v/>
      </c>
      <c r="Y27" s="38" t="str">
        <f t="shared" si="5"/>
        <v/>
      </c>
      <c r="Z27" s="38" t="str">
        <f t="shared" si="5"/>
        <v/>
      </c>
      <c r="AA27" s="38" t="str">
        <f t="shared" si="5"/>
        <v/>
      </c>
      <c r="AB27" s="38" t="str">
        <f t="shared" si="5"/>
        <v/>
      </c>
      <c r="AC27" s="38" t="str">
        <f t="shared" si="5"/>
        <v/>
      </c>
      <c r="AD27" s="38" t="str">
        <f t="shared" si="5"/>
        <v/>
      </c>
      <c r="AE27" s="38" t="str">
        <f t="shared" si="5"/>
        <v/>
      </c>
      <c r="AF27" s="38" t="str">
        <f t="shared" si="5"/>
        <v/>
      </c>
      <c r="AG27" s="38" t="str">
        <f t="shared" si="5"/>
        <v/>
      </c>
      <c r="AH27" s="38" t="str">
        <f t="shared" si="5"/>
        <v/>
      </c>
      <c r="AI27" s="38" t="str">
        <f t="shared" si="5"/>
        <v/>
      </c>
      <c r="AJ27" s="38" t="str">
        <f t="shared" si="5"/>
        <v/>
      </c>
      <c r="AK27" s="38" t="str">
        <f t="shared" si="5"/>
        <v/>
      </c>
      <c r="AL27" s="38" t="str">
        <f t="shared" si="5"/>
        <v/>
      </c>
      <c r="AM27" s="38" t="str">
        <f t="shared" si="5"/>
        <v/>
      </c>
      <c r="AN27" s="38" t="str">
        <f t="shared" si="5"/>
        <v/>
      </c>
      <c r="AO27" s="38" t="str">
        <f t="shared" si="5"/>
        <v/>
      </c>
      <c r="AP27" s="38" t="str">
        <f t="shared" si="5"/>
        <v/>
      </c>
      <c r="AQ27" s="38" t="str">
        <f t="shared" si="5"/>
        <v/>
      </c>
      <c r="AR27" s="38" t="str">
        <f t="shared" si="5"/>
        <v/>
      </c>
      <c r="AS27" s="38" t="str">
        <f t="shared" si="5"/>
        <v/>
      </c>
      <c r="AT27" s="38" t="str">
        <f t="shared" si="5"/>
        <v/>
      </c>
      <c r="AU27" s="38" t="str">
        <f t="shared" si="5"/>
        <v/>
      </c>
      <c r="AV27" s="38" t="str">
        <f t="shared" si="5"/>
        <v/>
      </c>
      <c r="AW27" s="38" t="str">
        <f t="shared" si="5"/>
        <v/>
      </c>
      <c r="AX27" s="38" t="str">
        <f t="shared" si="5"/>
        <v/>
      </c>
      <c r="AY27" s="38">
        <f t="shared" si="5"/>
        <v>0.1316598467</v>
      </c>
      <c r="AZ27" s="38">
        <f t="shared" si="5"/>
        <v>0.09859620126</v>
      </c>
      <c r="BA27" s="38">
        <f t="shared" si="5"/>
        <v>0.119193195</v>
      </c>
      <c r="BB27" s="38">
        <f t="shared" si="5"/>
        <v>0.1803015717</v>
      </c>
      <c r="BC27" s="38">
        <f t="shared" si="5"/>
        <v>0.462601192</v>
      </c>
      <c r="BD27" s="38" t="str">
        <f t="shared" si="5"/>
        <v/>
      </c>
      <c r="BE27" s="38" t="str">
        <f t="shared" si="5"/>
        <v/>
      </c>
    </row>
    <row r="28" ht="15.75" customHeight="1">
      <c r="A28" s="24" t="s">
        <v>32</v>
      </c>
      <c r="B28" s="24" t="s">
        <v>20</v>
      </c>
      <c r="C28" s="43"/>
      <c r="D28" s="38">
        <f t="shared" ref="D28:BE28" si="6">IFERROR((D13-C13)/ABS(C13),"")</f>
        <v>1.083175803</v>
      </c>
      <c r="E28" s="38">
        <f t="shared" si="6"/>
        <v>-0.06987295826</v>
      </c>
      <c r="F28" s="38">
        <f t="shared" si="6"/>
        <v>0.7073170732</v>
      </c>
      <c r="G28" s="38">
        <f t="shared" si="6"/>
        <v>-0.9828571429</v>
      </c>
      <c r="H28" s="38">
        <f t="shared" si="6"/>
        <v>54</v>
      </c>
      <c r="I28" s="38">
        <f t="shared" si="6"/>
        <v>-0.09848484848</v>
      </c>
      <c r="J28" s="38">
        <f t="shared" si="6"/>
        <v>0.2302521008</v>
      </c>
      <c r="K28" s="38">
        <f t="shared" si="6"/>
        <v>0.02896174863</v>
      </c>
      <c r="L28" s="38">
        <f t="shared" si="6"/>
        <v>-0.9739776952</v>
      </c>
      <c r="M28" s="38">
        <f t="shared" si="6"/>
        <v>63.13265306</v>
      </c>
      <c r="N28" s="38">
        <f t="shared" si="6"/>
        <v>0.1249005569</v>
      </c>
      <c r="O28" s="38">
        <f t="shared" si="6"/>
        <v>0.1551626591</v>
      </c>
      <c r="P28" s="38">
        <f t="shared" si="6"/>
        <v>-0.3533733317</v>
      </c>
      <c r="Q28" s="38">
        <f t="shared" si="6"/>
        <v>0.771255444</v>
      </c>
      <c r="R28" s="38">
        <f t="shared" si="6"/>
        <v>-0.05698097071</v>
      </c>
      <c r="S28" s="38">
        <f t="shared" si="6"/>
        <v>-0.3796621698</v>
      </c>
      <c r="T28" s="38">
        <f t="shared" si="6"/>
        <v>0.07894736842</v>
      </c>
      <c r="U28" s="38">
        <f t="shared" si="6"/>
        <v>-0.1725948509</v>
      </c>
      <c r="V28" s="38">
        <f t="shared" si="6"/>
        <v>-0.9692937564</v>
      </c>
      <c r="W28" s="38">
        <f t="shared" si="6"/>
        <v>0.1133333333</v>
      </c>
      <c r="X28" s="38">
        <f t="shared" si="6"/>
        <v>3.089820359</v>
      </c>
      <c r="Y28" s="38">
        <f t="shared" si="6"/>
        <v>-0.6207906296</v>
      </c>
      <c r="Z28" s="38">
        <f t="shared" si="6"/>
        <v>3.857142857</v>
      </c>
      <c r="AA28" s="38">
        <f t="shared" si="6"/>
        <v>-0.7551669316</v>
      </c>
      <c r="AB28" s="38">
        <f t="shared" si="6"/>
        <v>2.383116883</v>
      </c>
      <c r="AC28" s="38">
        <f t="shared" si="6"/>
        <v>0.9395393474</v>
      </c>
      <c r="AD28" s="38">
        <f t="shared" si="6"/>
        <v>-0.4908461158</v>
      </c>
      <c r="AE28" s="38">
        <f t="shared" si="6"/>
        <v>0.09037900875</v>
      </c>
      <c r="AF28" s="38">
        <f t="shared" si="6"/>
        <v>0.001782531194</v>
      </c>
      <c r="AG28" s="38">
        <f t="shared" si="6"/>
        <v>0.3167259786</v>
      </c>
      <c r="AH28" s="38">
        <f t="shared" si="6"/>
        <v>0.4094594595</v>
      </c>
      <c r="AI28" s="38">
        <f t="shared" si="6"/>
        <v>-1</v>
      </c>
      <c r="AJ28" s="38" t="str">
        <f t="shared" si="6"/>
        <v/>
      </c>
      <c r="AK28" s="38" t="str">
        <f t="shared" si="6"/>
        <v/>
      </c>
      <c r="AL28" s="38">
        <f t="shared" si="6"/>
        <v>1.001552941</v>
      </c>
      <c r="AM28" s="38">
        <f t="shared" si="6"/>
        <v>202.1899225</v>
      </c>
      <c r="AN28" s="38">
        <f t="shared" si="6"/>
        <v>-0.05198417997</v>
      </c>
      <c r="AO28" s="38">
        <f t="shared" si="6"/>
        <v>0.6459369456</v>
      </c>
      <c r="AP28" s="38">
        <f t="shared" si="6"/>
        <v>-0.09434857996</v>
      </c>
      <c r="AQ28" s="38">
        <f t="shared" si="6"/>
        <v>-4.662692833</v>
      </c>
      <c r="AR28" s="38">
        <f t="shared" si="6"/>
        <v>1.586682465</v>
      </c>
      <c r="AS28" s="38">
        <f t="shared" si="6"/>
        <v>-0.6007753845</v>
      </c>
      <c r="AT28" s="38">
        <f t="shared" si="6"/>
        <v>0.260868311</v>
      </c>
      <c r="AU28" s="38">
        <f t="shared" si="6"/>
        <v>-0.4580813165</v>
      </c>
      <c r="AV28" s="38">
        <f t="shared" si="6"/>
        <v>0.03109599767</v>
      </c>
      <c r="AW28" s="38">
        <f t="shared" si="6"/>
        <v>-0.9073255165</v>
      </c>
      <c r="AX28" s="38">
        <f t="shared" si="6"/>
        <v>-0.01016186689</v>
      </c>
      <c r="AY28" s="38">
        <f t="shared" si="6"/>
        <v>-0.4190066548</v>
      </c>
      <c r="AZ28" s="38">
        <f t="shared" si="6"/>
        <v>19.97492667</v>
      </c>
      <c r="BA28" s="38">
        <f t="shared" si="6"/>
        <v>-0.6225913112</v>
      </c>
      <c r="BB28" s="38">
        <f t="shared" si="6"/>
        <v>-0.5120122107</v>
      </c>
      <c r="BC28" s="38">
        <f t="shared" si="6"/>
        <v>-56.51641656</v>
      </c>
      <c r="BD28" s="43">
        <f t="shared" si="6"/>
        <v>1</v>
      </c>
      <c r="BE28" s="43" t="str">
        <f t="shared" si="6"/>
        <v/>
      </c>
    </row>
    <row r="29" ht="15.75" customHeight="1">
      <c r="A29" s="24" t="s">
        <v>33</v>
      </c>
      <c r="B29" s="24" t="s">
        <v>20</v>
      </c>
      <c r="C29" s="43"/>
      <c r="D29" s="38">
        <f t="shared" ref="D29:BE29" si="7">IFERROR((D6-C6)/C6,"")</f>
        <v>0.3317192588</v>
      </c>
      <c r="E29" s="38">
        <f t="shared" si="7"/>
        <v>0.1373842552</v>
      </c>
      <c r="F29" s="38">
        <f t="shared" si="7"/>
        <v>0.4035436791</v>
      </c>
      <c r="G29" s="38">
        <f t="shared" si="7"/>
        <v>0.3338132687</v>
      </c>
      <c r="H29" s="38">
        <f t="shared" si="7"/>
        <v>0.1868402521</v>
      </c>
      <c r="I29" s="38">
        <f t="shared" si="7"/>
        <v>0.1254660212</v>
      </c>
      <c r="J29" s="38">
        <f t="shared" si="7"/>
        <v>0.2843535492</v>
      </c>
      <c r="K29" s="38">
        <f t="shared" si="7"/>
        <v>0.1462598337</v>
      </c>
      <c r="L29" s="38">
        <f t="shared" si="7"/>
        <v>0.02536851958</v>
      </c>
      <c r="M29" s="38">
        <f t="shared" si="7"/>
        <v>0.1623507988</v>
      </c>
      <c r="N29" s="38">
        <f t="shared" si="7"/>
        <v>0.2400984179</v>
      </c>
      <c r="O29" s="38">
        <f t="shared" si="7"/>
        <v>0.3480119208</v>
      </c>
      <c r="P29" s="38">
        <f t="shared" si="7"/>
        <v>0.08120256677</v>
      </c>
      <c r="Q29" s="38">
        <f t="shared" si="7"/>
        <v>-0.000705885651</v>
      </c>
      <c r="R29" s="38">
        <f t="shared" si="7"/>
        <v>0.149527076</v>
      </c>
      <c r="S29" s="38">
        <f t="shared" si="7"/>
        <v>0.1634996819</v>
      </c>
      <c r="T29" s="38">
        <f t="shared" si="7"/>
        <v>0.1436748941</v>
      </c>
      <c r="U29" s="38">
        <f t="shared" si="7"/>
        <v>0.1782413822</v>
      </c>
      <c r="V29" s="38">
        <f t="shared" si="7"/>
        <v>0.05622833088</v>
      </c>
      <c r="W29" s="38">
        <f t="shared" si="7"/>
        <v>0.06998537955</v>
      </c>
      <c r="X29" s="38">
        <f t="shared" si="7"/>
        <v>0.08161567297</v>
      </c>
      <c r="Y29" s="38">
        <f t="shared" si="7"/>
        <v>0.114954677</v>
      </c>
      <c r="Z29" s="38">
        <f t="shared" si="7"/>
        <v>0.09166609372</v>
      </c>
      <c r="AA29" s="38">
        <f t="shared" si="7"/>
        <v>0.04994504928</v>
      </c>
      <c r="AB29" s="38">
        <f t="shared" si="7"/>
        <v>0.1258930877</v>
      </c>
      <c r="AC29" s="38">
        <f t="shared" si="7"/>
        <v>0.08652438748</v>
      </c>
      <c r="AD29" s="38">
        <f t="shared" si="7"/>
        <v>0.0253881555</v>
      </c>
      <c r="AE29" s="38">
        <f t="shared" si="7"/>
        <v>0.02128821533</v>
      </c>
      <c r="AF29" s="38">
        <f t="shared" si="7"/>
        <v>0.182579725</v>
      </c>
      <c r="AG29" s="38">
        <f t="shared" si="7"/>
        <v>0.1065027652</v>
      </c>
      <c r="AH29" s="38">
        <f t="shared" si="7"/>
        <v>-0.07069471123</v>
      </c>
      <c r="AI29" s="38">
        <f t="shared" si="7"/>
        <v>0.08116317276</v>
      </c>
      <c r="AJ29" s="38">
        <f t="shared" si="7"/>
        <v>0.1132083788</v>
      </c>
      <c r="AK29" s="38">
        <f t="shared" si="7"/>
        <v>0.1301920993</v>
      </c>
      <c r="AL29" s="38">
        <f t="shared" si="7"/>
        <v>0.1430626717</v>
      </c>
      <c r="AM29" s="38">
        <f t="shared" si="7"/>
        <v>0.09901385588</v>
      </c>
      <c r="AN29" s="38">
        <f t="shared" si="7"/>
        <v>0.09921301046</v>
      </c>
      <c r="AO29" s="38">
        <f t="shared" si="7"/>
        <v>0.1756135047</v>
      </c>
      <c r="AP29" s="38">
        <f t="shared" si="7"/>
        <v>0.2756259792</v>
      </c>
      <c r="AQ29" s="38">
        <f t="shared" si="7"/>
        <v>0.160630671</v>
      </c>
      <c r="AR29" s="38">
        <f t="shared" si="7"/>
        <v>0.1466430586</v>
      </c>
      <c r="AS29" s="38">
        <f t="shared" si="7"/>
        <v>0.07400172116</v>
      </c>
      <c r="AT29" s="38">
        <f t="shared" si="7"/>
        <v>0.08531747841</v>
      </c>
      <c r="AU29" s="38">
        <f t="shared" si="7"/>
        <v>0.1397134904</v>
      </c>
      <c r="AV29" s="38">
        <f t="shared" si="7"/>
        <v>0.03517128497</v>
      </c>
      <c r="AW29" s="38">
        <f t="shared" si="7"/>
        <v>0.07451480599</v>
      </c>
      <c r="AX29" s="38">
        <f t="shared" si="7"/>
        <v>0.03387878212</v>
      </c>
      <c r="AY29" s="38">
        <f t="shared" si="7"/>
        <v>0.1652068734</v>
      </c>
      <c r="AZ29" s="38">
        <f t="shared" si="7"/>
        <v>0.1976678233</v>
      </c>
      <c r="BA29" s="38">
        <f t="shared" si="7"/>
        <v>0.02040113586</v>
      </c>
      <c r="BB29" s="38">
        <f t="shared" si="7"/>
        <v>0.08786162722</v>
      </c>
      <c r="BC29" s="38">
        <f t="shared" si="7"/>
        <v>0.06078600078</v>
      </c>
      <c r="BD29" s="43">
        <f t="shared" si="7"/>
        <v>-1</v>
      </c>
      <c r="BE29" s="43" t="str">
        <f t="shared" si="7"/>
        <v/>
      </c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88"/>
    <col customWidth="1" min="2" max="6" width="12.63"/>
  </cols>
  <sheetData>
    <row r="1" ht="47.25" customHeight="1">
      <c r="A1" s="1"/>
    </row>
    <row r="2" ht="17.25" customHeight="1">
      <c r="A2" s="2" t="s">
        <v>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.75" customHeight="1">
      <c r="A4" s="7" t="s">
        <v>4</v>
      </c>
      <c r="B4" s="7" t="s">
        <v>5</v>
      </c>
      <c r="C4" s="9">
        <v>1989.0</v>
      </c>
      <c r="D4" s="17">
        <f t="shared" ref="D4:AN4" si="1">C4+1</f>
        <v>1990</v>
      </c>
      <c r="E4" s="17">
        <f t="shared" si="1"/>
        <v>1991</v>
      </c>
      <c r="F4" s="17">
        <f t="shared" si="1"/>
        <v>1992</v>
      </c>
      <c r="G4" s="17">
        <f t="shared" si="1"/>
        <v>1993</v>
      </c>
      <c r="H4" s="17">
        <f t="shared" si="1"/>
        <v>1994</v>
      </c>
      <c r="I4" s="17">
        <f t="shared" si="1"/>
        <v>1995</v>
      </c>
      <c r="J4" s="17">
        <f t="shared" si="1"/>
        <v>1996</v>
      </c>
      <c r="K4" s="17">
        <f t="shared" si="1"/>
        <v>1997</v>
      </c>
      <c r="L4" s="17">
        <f t="shared" si="1"/>
        <v>1998</v>
      </c>
      <c r="M4" s="17">
        <f t="shared" si="1"/>
        <v>1999</v>
      </c>
      <c r="N4" s="17">
        <f t="shared" si="1"/>
        <v>2000</v>
      </c>
      <c r="O4" s="17">
        <f t="shared" si="1"/>
        <v>2001</v>
      </c>
      <c r="P4" s="17">
        <f t="shared" si="1"/>
        <v>2002</v>
      </c>
      <c r="Q4" s="17">
        <f t="shared" si="1"/>
        <v>2003</v>
      </c>
      <c r="R4" s="17">
        <f t="shared" si="1"/>
        <v>2004</v>
      </c>
      <c r="S4" s="17">
        <f t="shared" si="1"/>
        <v>2005</v>
      </c>
      <c r="T4" s="17">
        <f t="shared" si="1"/>
        <v>2006</v>
      </c>
      <c r="U4" s="17">
        <f t="shared" si="1"/>
        <v>2007</v>
      </c>
      <c r="V4" s="17">
        <f t="shared" si="1"/>
        <v>2008</v>
      </c>
      <c r="W4" s="17">
        <f t="shared" si="1"/>
        <v>2009</v>
      </c>
      <c r="X4" s="17">
        <f t="shared" si="1"/>
        <v>2010</v>
      </c>
      <c r="Y4" s="17">
        <f t="shared" si="1"/>
        <v>2011</v>
      </c>
      <c r="Z4" s="17">
        <f t="shared" si="1"/>
        <v>2012</v>
      </c>
      <c r="AA4" s="17">
        <f t="shared" si="1"/>
        <v>2013</v>
      </c>
      <c r="AB4" s="17">
        <f t="shared" si="1"/>
        <v>2014</v>
      </c>
      <c r="AC4" s="17">
        <f t="shared" si="1"/>
        <v>2015</v>
      </c>
      <c r="AD4" s="17">
        <f t="shared" si="1"/>
        <v>2016</v>
      </c>
      <c r="AE4" s="17">
        <f t="shared" si="1"/>
        <v>2017</v>
      </c>
      <c r="AF4" s="17">
        <f t="shared" si="1"/>
        <v>2018</v>
      </c>
      <c r="AG4" s="17">
        <f t="shared" si="1"/>
        <v>2019</v>
      </c>
      <c r="AH4" s="17">
        <f t="shared" si="1"/>
        <v>2020</v>
      </c>
      <c r="AI4" s="17">
        <f t="shared" si="1"/>
        <v>2021</v>
      </c>
      <c r="AJ4" s="17">
        <f t="shared" si="1"/>
        <v>2022</v>
      </c>
      <c r="AK4" s="17">
        <f t="shared" si="1"/>
        <v>2023</v>
      </c>
      <c r="AL4" s="17">
        <f t="shared" si="1"/>
        <v>2024</v>
      </c>
      <c r="AM4" s="17">
        <f t="shared" si="1"/>
        <v>2025</v>
      </c>
      <c r="AN4" s="17">
        <f t="shared" si="1"/>
        <v>2026</v>
      </c>
    </row>
    <row r="5" ht="15.75" customHeight="1">
      <c r="A5" s="27" t="s">
        <v>6</v>
      </c>
      <c r="B5" s="29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ht="15.75" customHeight="1">
      <c r="A6" s="24" t="s">
        <v>7</v>
      </c>
      <c r="B6" s="24" t="s">
        <v>8</v>
      </c>
      <c r="C6" s="25">
        <v>406.73</v>
      </c>
      <c r="D6" s="25">
        <v>661.91</v>
      </c>
      <c r="E6" s="25">
        <v>991.37</v>
      </c>
      <c r="F6" s="25">
        <v>1646.95</v>
      </c>
      <c r="G6" s="25">
        <v>2321.13</v>
      </c>
      <c r="H6" s="25">
        <v>2609.85</v>
      </c>
      <c r="I6" s="25">
        <v>3280.16</v>
      </c>
      <c r="J6" s="25">
        <v>3962.55</v>
      </c>
      <c r="K6" s="25">
        <v>4350.14</v>
      </c>
      <c r="L6" s="25">
        <v>5620.57</v>
      </c>
      <c r="M6" s="25">
        <v>7173.17</v>
      </c>
      <c r="N6" s="25">
        <v>7730.67</v>
      </c>
      <c r="O6" s="25">
        <v>9721.93</v>
      </c>
      <c r="P6" s="25">
        <v>13019.42</v>
      </c>
      <c r="Q6" s="25">
        <v>14766.32</v>
      </c>
      <c r="R6" s="25">
        <v>19436.57</v>
      </c>
      <c r="S6" s="25">
        <v>27136.37</v>
      </c>
      <c r="T6" s="25">
        <v>29417.09</v>
      </c>
      <c r="U6" s="25">
        <v>38773.91</v>
      </c>
      <c r="V6" s="25">
        <v>46660.03</v>
      </c>
      <c r="W6" s="25">
        <v>45308.31</v>
      </c>
      <c r="X6" s="25">
        <v>61569.38</v>
      </c>
      <c r="Y6" s="25">
        <v>78031.73</v>
      </c>
      <c r="Z6" s="25">
        <v>109682.06</v>
      </c>
      <c r="AA6" s="25">
        <v>157072.19</v>
      </c>
      <c r="AB6" s="25">
        <v>171118.53</v>
      </c>
      <c r="AC6" s="25">
        <v>194173.36</v>
      </c>
      <c r="AD6" s="25">
        <v>204739.63</v>
      </c>
      <c r="AE6" s="25">
        <v>198816.67</v>
      </c>
      <c r="AF6" s="25">
        <v>191560.41</v>
      </c>
      <c r="AG6" s="25">
        <v>194915.97</v>
      </c>
      <c r="AH6" s="25">
        <v>196678.18</v>
      </c>
      <c r="AI6" s="25">
        <v>195561.35</v>
      </c>
      <c r="AJ6" s="25">
        <v>180575.95</v>
      </c>
      <c r="AK6" s="25">
        <v>168181.44</v>
      </c>
      <c r="AL6" s="25"/>
      <c r="AM6" s="25"/>
      <c r="AN6" s="25"/>
    </row>
    <row r="7" ht="15.75" customHeight="1">
      <c r="A7" s="24" t="s">
        <v>9</v>
      </c>
      <c r="B7" s="24" t="s">
        <v>8</v>
      </c>
      <c r="C7" s="25">
        <v>66.45</v>
      </c>
      <c r="D7" s="25">
        <v>200.0</v>
      </c>
      <c r="E7" s="25">
        <v>432.8</v>
      </c>
      <c r="F7" s="25">
        <v>715.75</v>
      </c>
      <c r="G7" s="25">
        <v>986.61</v>
      </c>
      <c r="H7" s="25">
        <v>1112.24</v>
      </c>
      <c r="I7" s="25">
        <v>1561.29</v>
      </c>
      <c r="J7" s="25">
        <v>1724.81</v>
      </c>
      <c r="K7" s="25">
        <v>2630.9</v>
      </c>
      <c r="L7" s="25">
        <v>3218.9</v>
      </c>
      <c r="M7" s="25">
        <v>3960.11</v>
      </c>
      <c r="N7" s="25">
        <v>4618.73</v>
      </c>
      <c r="O7" s="25">
        <v>6260.78</v>
      </c>
      <c r="P7" s="25">
        <v>7957.04</v>
      </c>
      <c r="Q7" s="25">
        <v>9282.2</v>
      </c>
      <c r="R7" s="25">
        <v>12000.15</v>
      </c>
      <c r="S7" s="25">
        <v>15339.35</v>
      </c>
      <c r="T7" s="25">
        <v>19000.0</v>
      </c>
      <c r="U7" s="25">
        <v>22263.35</v>
      </c>
      <c r="V7" s="25">
        <v>27269.13</v>
      </c>
      <c r="W7" s="25">
        <v>29261.53</v>
      </c>
      <c r="X7" s="25">
        <v>46341.51</v>
      </c>
      <c r="Y7" s="25">
        <v>56884.76</v>
      </c>
      <c r="Z7" s="25">
        <v>85955.76</v>
      </c>
      <c r="AA7" s="25">
        <v>109428.44</v>
      </c>
      <c r="AB7" s="25">
        <v>89392.86</v>
      </c>
      <c r="AC7" s="25">
        <v>128807.01</v>
      </c>
      <c r="AD7" s="25">
        <v>134882.8</v>
      </c>
      <c r="AE7" s="25">
        <v>145568.59</v>
      </c>
      <c r="AF7" s="25">
        <v>151968.05</v>
      </c>
      <c r="AG7" s="25">
        <v>151769.61</v>
      </c>
      <c r="AH7" s="25">
        <v>149125.94</v>
      </c>
      <c r="AI7" s="25">
        <v>144451.77</v>
      </c>
      <c r="AJ7" s="25">
        <v>134595.36</v>
      </c>
      <c r="AK7" s="25">
        <v>131524.83</v>
      </c>
      <c r="AL7" s="25"/>
      <c r="AM7" s="25"/>
      <c r="AN7" s="25"/>
    </row>
    <row r="8" ht="15.75" customHeight="1">
      <c r="A8" s="24" t="s">
        <v>10</v>
      </c>
      <c r="B8" s="24" t="s">
        <v>8</v>
      </c>
      <c r="C8" s="25">
        <v>317.72</v>
      </c>
      <c r="D8" s="25">
        <v>529.19</v>
      </c>
      <c r="E8" s="25">
        <v>843.79</v>
      </c>
      <c r="F8" s="25">
        <v>1367.36</v>
      </c>
      <c r="G8" s="25">
        <v>1977.6</v>
      </c>
      <c r="H8" s="25">
        <v>2241.33</v>
      </c>
      <c r="I8" s="25">
        <v>2773.73</v>
      </c>
      <c r="J8" s="25">
        <v>3357.05</v>
      </c>
      <c r="K8" s="25">
        <v>3541.6</v>
      </c>
      <c r="L8" s="25">
        <v>4551.48</v>
      </c>
      <c r="M8" s="25">
        <v>5647.93</v>
      </c>
      <c r="N8" s="25">
        <v>5845.15</v>
      </c>
      <c r="O8" s="25">
        <v>7512.62</v>
      </c>
      <c r="P8" s="25">
        <v>10021.24</v>
      </c>
      <c r="Q8" s="25">
        <v>11266.54</v>
      </c>
      <c r="R8" s="25">
        <v>15509.18</v>
      </c>
      <c r="S8" s="25">
        <v>22325.58</v>
      </c>
      <c r="T8" s="25">
        <v>24084.65</v>
      </c>
      <c r="U8" s="25">
        <v>31947.98</v>
      </c>
      <c r="V8" s="25">
        <v>38368.23</v>
      </c>
      <c r="W8" s="25">
        <v>34501.69</v>
      </c>
      <c r="X8" s="25">
        <v>49259.6</v>
      </c>
      <c r="Y8" s="25">
        <v>62650.73</v>
      </c>
      <c r="Z8" s="25">
        <v>87693.23</v>
      </c>
      <c r="AA8" s="25">
        <v>134493.45</v>
      </c>
      <c r="AB8" s="25">
        <v>139934.06</v>
      </c>
      <c r="AC8" s="25">
        <v>148167.23</v>
      </c>
      <c r="AD8" s="25">
        <v>158070.98</v>
      </c>
      <c r="AE8" s="25">
        <v>143180.24</v>
      </c>
      <c r="AF8" s="25">
        <v>131821.58</v>
      </c>
      <c r="AG8" s="25">
        <v>138307.35</v>
      </c>
      <c r="AH8" s="25">
        <v>139714.95</v>
      </c>
      <c r="AI8" s="25">
        <v>150980.39</v>
      </c>
      <c r="AJ8" s="25">
        <v>148961.57</v>
      </c>
      <c r="AK8" s="25">
        <v>146933.94</v>
      </c>
      <c r="AL8" s="25"/>
      <c r="AM8" s="25"/>
      <c r="AN8" s="25"/>
    </row>
    <row r="9" ht="15.75" customHeight="1">
      <c r="A9" s="24" t="s">
        <v>11</v>
      </c>
      <c r="B9" s="24" t="s">
        <v>8</v>
      </c>
      <c r="C9" s="25">
        <v>81.09</v>
      </c>
      <c r="D9" s="25">
        <v>84.36</v>
      </c>
      <c r="E9" s="25">
        <v>84.83</v>
      </c>
      <c r="F9" s="25">
        <v>90.48</v>
      </c>
      <c r="G9" s="25">
        <v>107.81</v>
      </c>
      <c r="H9" s="25">
        <v>133.49</v>
      </c>
      <c r="I9" s="25">
        <v>185.96</v>
      </c>
      <c r="J9" s="25">
        <v>243.73</v>
      </c>
      <c r="K9" s="25">
        <v>338.34</v>
      </c>
      <c r="L9" s="25">
        <v>474.48</v>
      </c>
      <c r="M9" s="25">
        <v>584.43</v>
      </c>
      <c r="N9" s="25">
        <v>697.77</v>
      </c>
      <c r="O9" s="25">
        <v>761.35</v>
      </c>
      <c r="P9" s="25">
        <v>1012.9</v>
      </c>
      <c r="Q9" s="25">
        <v>1249.29</v>
      </c>
      <c r="R9" s="25">
        <v>1491.23</v>
      </c>
      <c r="S9" s="25">
        <v>1726.14</v>
      </c>
      <c r="T9" s="25">
        <v>2239.0</v>
      </c>
      <c r="U9" s="25">
        <v>2596.58</v>
      </c>
      <c r="V9" s="25">
        <v>2982.59</v>
      </c>
      <c r="W9" s="25">
        <v>3923.95</v>
      </c>
      <c r="X9" s="25">
        <v>4474.43</v>
      </c>
      <c r="Y9" s="25">
        <v>5481.76</v>
      </c>
      <c r="Z9" s="25">
        <v>6440.58</v>
      </c>
      <c r="AA9" s="25">
        <v>6039.18</v>
      </c>
      <c r="AB9" s="25">
        <v>13013.92</v>
      </c>
      <c r="AC9" s="25">
        <v>25947.08</v>
      </c>
      <c r="AD9" s="25">
        <v>10808.32</v>
      </c>
      <c r="AE9" s="25">
        <v>13907.09</v>
      </c>
      <c r="AF9" s="25">
        <v>10381.32</v>
      </c>
      <c r="AG9" s="25">
        <v>7007.14</v>
      </c>
      <c r="AH9" s="25">
        <v>3693.13</v>
      </c>
      <c r="AI9" s="25">
        <v>-574.91</v>
      </c>
      <c r="AJ9" s="25">
        <v>-2107.27</v>
      </c>
      <c r="AK9" s="25">
        <v>-6142.49</v>
      </c>
      <c r="AL9" s="25"/>
      <c r="AM9" s="25"/>
      <c r="AN9" s="25"/>
    </row>
    <row r="10" ht="15.75" customHeight="1">
      <c r="A10" s="27" t="s">
        <v>12</v>
      </c>
      <c r="B10" s="29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ht="15.75" customHeight="1">
      <c r="A11" s="24" t="s">
        <v>13</v>
      </c>
      <c r="B11" s="24" t="s">
        <v>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>
        <v>797.06</v>
      </c>
      <c r="T11" s="25">
        <v>962.69</v>
      </c>
      <c r="U11" s="25">
        <v>938.1</v>
      </c>
      <c r="V11" s="25">
        <v>1120.517</v>
      </c>
      <c r="W11" s="25">
        <v>1003.202</v>
      </c>
      <c r="X11" s="25">
        <v>1303.48</v>
      </c>
      <c r="Y11" s="25">
        <v>2187.346</v>
      </c>
      <c r="Z11" s="25">
        <v>2476.28</v>
      </c>
      <c r="AA11" s="25">
        <v>1701.0</v>
      </c>
      <c r="AB11" s="25">
        <v>-1395.91</v>
      </c>
      <c r="AC11" s="25"/>
      <c r="AD11" s="25">
        <v>-1055.8</v>
      </c>
      <c r="AE11" s="25">
        <v>-188.15</v>
      </c>
      <c r="AF11" s="25">
        <v>-1259.95</v>
      </c>
      <c r="AG11" s="25">
        <v>-2382.96</v>
      </c>
      <c r="AH11" s="25">
        <v>-4204.86</v>
      </c>
      <c r="AI11" s="25">
        <v>-4422.95</v>
      </c>
      <c r="AJ11" s="25">
        <v>-2464.5</v>
      </c>
      <c r="AK11" s="25">
        <v>-4784.62</v>
      </c>
      <c r="AL11" s="25"/>
      <c r="AM11" s="25"/>
      <c r="AN11" s="25"/>
    </row>
    <row r="12" ht="15.75" customHeight="1">
      <c r="A12" s="24" t="s">
        <v>14</v>
      </c>
      <c r="B12" s="24" t="s">
        <v>8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>
        <v>447.17</v>
      </c>
      <c r="T12" s="25">
        <v>591.77</v>
      </c>
      <c r="U12" s="25">
        <v>682.95</v>
      </c>
      <c r="V12" s="25">
        <v>1230.877</v>
      </c>
      <c r="W12" s="25">
        <v>1285.131</v>
      </c>
      <c r="X12" s="25">
        <v>1783.5</v>
      </c>
      <c r="Y12" s="25">
        <v>1726.213</v>
      </c>
      <c r="Z12" s="25">
        <v>2381.397</v>
      </c>
      <c r="AA12" s="25">
        <v>2529.79</v>
      </c>
      <c r="AB12" s="25">
        <v>3043.24</v>
      </c>
      <c r="AC12" s="25"/>
      <c r="AD12" s="25">
        <v>3833.88</v>
      </c>
      <c r="AE12" s="25">
        <v>3426.18</v>
      </c>
      <c r="AF12" s="25">
        <v>3124.51</v>
      </c>
      <c r="AG12" s="25">
        <v>2401.34</v>
      </c>
      <c r="AH12" s="25">
        <v>3207.79</v>
      </c>
      <c r="AI12" s="25">
        <v>3105.75</v>
      </c>
      <c r="AJ12" s="25">
        <v>3780.03</v>
      </c>
      <c r="AK12" s="25">
        <v>3308.99</v>
      </c>
      <c r="AL12" s="25"/>
      <c r="AM12" s="25"/>
      <c r="AN12" s="25"/>
    </row>
    <row r="13" ht="15.75" customHeight="1">
      <c r="A13" s="24" t="s">
        <v>15</v>
      </c>
      <c r="B13" s="24" t="s">
        <v>8</v>
      </c>
      <c r="C13" s="25">
        <v>1.09</v>
      </c>
      <c r="D13" s="25">
        <v>3.27</v>
      </c>
      <c r="E13" s="25">
        <v>2.87</v>
      </c>
      <c r="F13" s="25">
        <v>4.13</v>
      </c>
      <c r="G13" s="25">
        <v>17.33</v>
      </c>
      <c r="H13" s="25">
        <v>25.68</v>
      </c>
      <c r="I13" s="25">
        <v>52.48</v>
      </c>
      <c r="J13" s="25">
        <v>57.77</v>
      </c>
      <c r="K13" s="25">
        <v>94.61</v>
      </c>
      <c r="L13" s="25">
        <v>136.15</v>
      </c>
      <c r="M13" s="39">
        <v>159.95</v>
      </c>
      <c r="N13" s="39">
        <v>173.34</v>
      </c>
      <c r="O13" s="25">
        <v>213.67</v>
      </c>
      <c r="P13" s="25">
        <v>251.55</v>
      </c>
      <c r="Q13" s="25">
        <v>236.39</v>
      </c>
      <c r="R13" s="25">
        <v>291.48</v>
      </c>
      <c r="S13" s="25">
        <v>285.49</v>
      </c>
      <c r="T13" s="25">
        <v>554.14</v>
      </c>
      <c r="U13" s="25">
        <v>282.96</v>
      </c>
      <c r="V13" s="25">
        <v>549.86</v>
      </c>
      <c r="W13" s="25">
        <v>648.85</v>
      </c>
      <c r="X13" s="25">
        <v>660.93</v>
      </c>
      <c r="Y13" s="25">
        <v>976.11</v>
      </c>
      <c r="Z13" s="25">
        <v>27.89</v>
      </c>
      <c r="AA13" s="25">
        <v>-531.53</v>
      </c>
      <c r="AB13" s="25">
        <v>-1100.16</v>
      </c>
      <c r="AC13" s="25">
        <v>-3140.36</v>
      </c>
      <c r="AD13" s="25">
        <v>-14930.4</v>
      </c>
      <c r="AE13" s="25">
        <v>-6843.69</v>
      </c>
      <c r="AF13" s="25">
        <v>-3538.95</v>
      </c>
      <c r="AG13" s="25">
        <v>-3269.03</v>
      </c>
      <c r="AH13" s="25">
        <v>-3718.18</v>
      </c>
      <c r="AI13" s="25">
        <v>-3969.79</v>
      </c>
      <c r="AJ13" s="25">
        <v>-1301.65</v>
      </c>
      <c r="AK13" s="25">
        <v>-4162.95</v>
      </c>
      <c r="AL13" s="25"/>
      <c r="AM13" s="25"/>
      <c r="AN13" s="25"/>
    </row>
    <row r="14" ht="15.75" customHeight="1">
      <c r="A14" s="27" t="s">
        <v>16</v>
      </c>
      <c r="B14" s="29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ht="15.75" customHeight="1">
      <c r="A15" s="24" t="s">
        <v>17</v>
      </c>
      <c r="B15" s="24" t="s">
        <v>18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>
        <v>35.99</v>
      </c>
      <c r="S15" s="37">
        <v>35.21</v>
      </c>
      <c r="T15" s="37">
        <v>58.64</v>
      </c>
      <c r="U15" s="37">
        <v>21.6</v>
      </c>
      <c r="V15" s="37">
        <v>41.99</v>
      </c>
      <c r="W15" s="37">
        <v>44.59</v>
      </c>
      <c r="X15" s="37">
        <v>33.64</v>
      </c>
      <c r="Y15" s="37">
        <v>33.12</v>
      </c>
      <c r="Z15" s="37">
        <v>0.95</v>
      </c>
      <c r="AA15" s="37">
        <v>-18.04</v>
      </c>
      <c r="AB15" s="37">
        <v>-37.33</v>
      </c>
      <c r="AC15" s="37"/>
      <c r="AD15" s="37">
        <v>-13.76</v>
      </c>
      <c r="AE15" s="37">
        <v>-6.31</v>
      </c>
      <c r="AF15" s="37">
        <v>-3.26</v>
      </c>
      <c r="AG15" s="37">
        <v>-3.01</v>
      </c>
      <c r="AH15" s="37">
        <v>-3.43</v>
      </c>
      <c r="AI15" s="37">
        <v>-3.66</v>
      </c>
      <c r="AJ15" s="37">
        <v>-1.2</v>
      </c>
      <c r="AK15" s="37">
        <v>-3.84</v>
      </c>
      <c r="AL15" s="41"/>
      <c r="AM15" s="41"/>
      <c r="AN15" s="41"/>
    </row>
    <row r="16" ht="15.75" customHeight="1">
      <c r="A16" s="24" t="s">
        <v>19</v>
      </c>
      <c r="B16" s="24" t="s">
        <v>20</v>
      </c>
      <c r="C16" s="38">
        <f t="shared" ref="C16:AN16" si="2">IFERROR(C13/C6,"")</f>
        <v>0.002679910506</v>
      </c>
      <c r="D16" s="38">
        <f t="shared" si="2"/>
        <v>0.004940248674</v>
      </c>
      <c r="E16" s="38">
        <f t="shared" si="2"/>
        <v>0.002894983709</v>
      </c>
      <c r="F16" s="38">
        <f t="shared" si="2"/>
        <v>0.002507665685</v>
      </c>
      <c r="G16" s="38">
        <f t="shared" si="2"/>
        <v>0.007466191036</v>
      </c>
      <c r="H16" s="38">
        <f t="shared" si="2"/>
        <v>0.009839645957</v>
      </c>
      <c r="I16" s="38">
        <f t="shared" si="2"/>
        <v>0.01599921955</v>
      </c>
      <c r="J16" s="38">
        <f t="shared" si="2"/>
        <v>0.01457899585</v>
      </c>
      <c r="K16" s="38">
        <f t="shared" si="2"/>
        <v>0.02174872533</v>
      </c>
      <c r="L16" s="38">
        <f t="shared" si="2"/>
        <v>0.02422352181</v>
      </c>
      <c r="M16" s="42">
        <f t="shared" si="2"/>
        <v>0.02229837018</v>
      </c>
      <c r="N16" s="42">
        <f t="shared" si="2"/>
        <v>0.02242237736</v>
      </c>
      <c r="O16" s="38">
        <f t="shared" si="2"/>
        <v>0.02197814631</v>
      </c>
      <c r="P16" s="38">
        <f t="shared" si="2"/>
        <v>0.01932113719</v>
      </c>
      <c r="Q16" s="38">
        <f t="shared" si="2"/>
        <v>0.01600872797</v>
      </c>
      <c r="R16" s="38">
        <f t="shared" si="2"/>
        <v>0.01499647314</v>
      </c>
      <c r="S16" s="42">
        <f t="shared" si="2"/>
        <v>0.01052056705</v>
      </c>
      <c r="T16" s="42">
        <f t="shared" si="2"/>
        <v>0.01883734931</v>
      </c>
      <c r="U16" s="38">
        <f t="shared" si="2"/>
        <v>0.007297690638</v>
      </c>
      <c r="V16" s="38">
        <f t="shared" si="2"/>
        <v>0.01178439019</v>
      </c>
      <c r="W16" s="38">
        <f t="shared" si="2"/>
        <v>0.0143207725</v>
      </c>
      <c r="X16" s="38">
        <f t="shared" si="2"/>
        <v>0.01073471911</v>
      </c>
      <c r="Y16" s="38">
        <f t="shared" si="2"/>
        <v>0.01250914211</v>
      </c>
      <c r="Z16" s="38">
        <f t="shared" si="2"/>
        <v>0.0002542804174</v>
      </c>
      <c r="AA16" s="38">
        <f t="shared" si="2"/>
        <v>-0.003383985415</v>
      </c>
      <c r="AB16" s="38">
        <f t="shared" si="2"/>
        <v>-0.006429227741</v>
      </c>
      <c r="AC16" s="38">
        <f t="shared" si="2"/>
        <v>-0.01617297038</v>
      </c>
      <c r="AD16" s="38">
        <f t="shared" si="2"/>
        <v>-0.0729238399</v>
      </c>
      <c r="AE16" s="38">
        <f t="shared" si="2"/>
        <v>-0.0344221136</v>
      </c>
      <c r="AF16" s="38">
        <f t="shared" si="2"/>
        <v>-0.0184743288</v>
      </c>
      <c r="AG16" s="38">
        <f t="shared" si="2"/>
        <v>-0.01677148363</v>
      </c>
      <c r="AH16" s="38">
        <f t="shared" si="2"/>
        <v>-0.01890489326</v>
      </c>
      <c r="AI16" s="38">
        <f t="shared" si="2"/>
        <v>-0.02029946101</v>
      </c>
      <c r="AJ16" s="38">
        <f t="shared" si="2"/>
        <v>-0.007208324254</v>
      </c>
      <c r="AK16" s="38">
        <f t="shared" si="2"/>
        <v>-0.02475273134</v>
      </c>
      <c r="AL16" s="38" t="str">
        <f t="shared" si="2"/>
        <v/>
      </c>
      <c r="AM16" s="38" t="str">
        <f t="shared" si="2"/>
        <v/>
      </c>
      <c r="AN16" s="38" t="str">
        <f t="shared" si="2"/>
        <v/>
      </c>
    </row>
    <row r="17" ht="15.75" customHeight="1">
      <c r="A17" s="24" t="s">
        <v>21</v>
      </c>
      <c r="B17" s="24" t="s">
        <v>20</v>
      </c>
      <c r="C17" s="38">
        <f t="shared" ref="C17:AN17" si="3">IFERROR(C13/C9,"")</f>
        <v>0.01344185473</v>
      </c>
      <c r="D17" s="38">
        <f t="shared" si="3"/>
        <v>0.03876244666</v>
      </c>
      <c r="E17" s="38">
        <f t="shared" si="3"/>
        <v>0.03383237062</v>
      </c>
      <c r="F17" s="38">
        <f t="shared" si="3"/>
        <v>0.04564544651</v>
      </c>
      <c r="G17" s="38">
        <f t="shared" si="3"/>
        <v>0.1607457564</v>
      </c>
      <c r="H17" s="38">
        <f t="shared" si="3"/>
        <v>0.1923739606</v>
      </c>
      <c r="I17" s="38">
        <f t="shared" si="3"/>
        <v>0.2822112282</v>
      </c>
      <c r="J17" s="38">
        <f t="shared" si="3"/>
        <v>0.2370245764</v>
      </c>
      <c r="K17" s="38">
        <f t="shared" si="3"/>
        <v>0.279629958</v>
      </c>
      <c r="L17" s="38">
        <f t="shared" si="3"/>
        <v>0.286945709</v>
      </c>
      <c r="M17" s="42">
        <f t="shared" si="3"/>
        <v>0.2736854713</v>
      </c>
      <c r="N17" s="42">
        <f t="shared" si="3"/>
        <v>0.2484199665</v>
      </c>
      <c r="O17" s="38">
        <f t="shared" si="3"/>
        <v>0.2806462205</v>
      </c>
      <c r="P17" s="38">
        <f t="shared" si="3"/>
        <v>0.2483463323</v>
      </c>
      <c r="Q17" s="38">
        <f t="shared" si="3"/>
        <v>0.1892194767</v>
      </c>
      <c r="R17" s="38">
        <f t="shared" si="3"/>
        <v>0.1954628059</v>
      </c>
      <c r="S17" s="42">
        <f t="shared" si="3"/>
        <v>0.1653921466</v>
      </c>
      <c r="T17" s="42">
        <f t="shared" si="3"/>
        <v>0.2474944172</v>
      </c>
      <c r="U17" s="38">
        <f t="shared" si="3"/>
        <v>0.1089741121</v>
      </c>
      <c r="V17" s="38">
        <f t="shared" si="3"/>
        <v>0.1843565492</v>
      </c>
      <c r="W17" s="38">
        <f t="shared" si="3"/>
        <v>0.1653563374</v>
      </c>
      <c r="X17" s="38">
        <f t="shared" si="3"/>
        <v>0.1477126695</v>
      </c>
      <c r="Y17" s="38">
        <f t="shared" si="3"/>
        <v>0.178065074</v>
      </c>
      <c r="Z17" s="38">
        <f t="shared" si="3"/>
        <v>0.004330355341</v>
      </c>
      <c r="AA17" s="38">
        <f t="shared" si="3"/>
        <v>-0.0880136045</v>
      </c>
      <c r="AB17" s="38">
        <f t="shared" si="3"/>
        <v>-0.0845371725</v>
      </c>
      <c r="AC17" s="38">
        <f t="shared" si="3"/>
        <v>-0.1210294183</v>
      </c>
      <c r="AD17" s="38">
        <f t="shared" si="3"/>
        <v>-1.38138027</v>
      </c>
      <c r="AE17" s="38">
        <f t="shared" si="3"/>
        <v>-0.4921007918</v>
      </c>
      <c r="AF17" s="38">
        <f t="shared" si="3"/>
        <v>-0.3408959554</v>
      </c>
      <c r="AG17" s="38">
        <f t="shared" si="3"/>
        <v>-0.4665284267</v>
      </c>
      <c r="AH17" s="38">
        <f t="shared" si="3"/>
        <v>-1.006782864</v>
      </c>
      <c r="AI17" s="38">
        <f t="shared" si="3"/>
        <v>6.905063401</v>
      </c>
      <c r="AJ17" s="38">
        <f t="shared" si="3"/>
        <v>0.6176949323</v>
      </c>
      <c r="AK17" s="38">
        <f t="shared" si="3"/>
        <v>0.6777300411</v>
      </c>
      <c r="AL17" s="38" t="str">
        <f t="shared" si="3"/>
        <v/>
      </c>
      <c r="AM17" s="38" t="str">
        <f t="shared" si="3"/>
        <v/>
      </c>
      <c r="AN17" s="38" t="str">
        <f t="shared" si="3"/>
        <v/>
      </c>
    </row>
    <row r="18" ht="15.75" customHeight="1">
      <c r="A18" s="27" t="s">
        <v>22</v>
      </c>
      <c r="B18" s="29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ht="15.75" customHeight="1">
      <c r="A19" s="24" t="s">
        <v>23</v>
      </c>
      <c r="B19" s="24" t="s">
        <v>20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>
        <v>0.0455</v>
      </c>
      <c r="T19" s="37">
        <v>0.037</v>
      </c>
      <c r="U19" s="37">
        <v>0.0325</v>
      </c>
      <c r="V19" s="37">
        <v>0.0459</v>
      </c>
      <c r="W19" s="37">
        <v>0.0483</v>
      </c>
      <c r="X19" s="37"/>
      <c r="Y19" s="37">
        <v>0.0438</v>
      </c>
      <c r="Z19" s="37">
        <v>0.0822</v>
      </c>
      <c r="AA19" s="37">
        <v>0.2875</v>
      </c>
      <c r="AB19" s="37">
        <v>0.5715</v>
      </c>
      <c r="AC19" s="37"/>
      <c r="AD19" s="37">
        <v>0.5413</v>
      </c>
      <c r="AE19" s="37">
        <v>0.5463</v>
      </c>
      <c r="AF19" s="37">
        <v>0.5685</v>
      </c>
      <c r="AG19" s="37">
        <v>0.5202</v>
      </c>
      <c r="AH19" s="37">
        <v>0.5172</v>
      </c>
      <c r="AI19" s="37">
        <v>0.598</v>
      </c>
      <c r="AJ19" s="37">
        <v>0.5785</v>
      </c>
      <c r="AK19" s="37">
        <v>0.6335</v>
      </c>
      <c r="AL19" s="37"/>
      <c r="AM19" s="37"/>
      <c r="AN19" s="37"/>
    </row>
    <row r="20" ht="15.75" customHeight="1">
      <c r="A20" s="24" t="s">
        <v>24</v>
      </c>
      <c r="B20" s="24" t="s">
        <v>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>
        <v>698.44</v>
      </c>
      <c r="T20" s="37">
        <v>703.27</v>
      </c>
      <c r="U20" s="37"/>
      <c r="V20" s="37">
        <v>1251.21</v>
      </c>
      <c r="W20" s="37">
        <v>1412.347</v>
      </c>
      <c r="X20" s="37"/>
      <c r="Y20" s="37">
        <v>2489.79</v>
      </c>
      <c r="Z20" s="37">
        <v>7065.685</v>
      </c>
      <c r="AA20" s="37">
        <v>31455.31</v>
      </c>
      <c r="AB20" s="37">
        <v>51091.16</v>
      </c>
      <c r="AC20" s="37"/>
      <c r="AD20" s="37">
        <v>73006.86</v>
      </c>
      <c r="AE20" s="37">
        <v>79529.88</v>
      </c>
      <c r="AF20" s="37">
        <v>86398.01</v>
      </c>
      <c r="AG20" s="37">
        <v>78948.51</v>
      </c>
      <c r="AH20" s="37">
        <v>77121.89</v>
      </c>
      <c r="AI20" s="37">
        <v>86377.47</v>
      </c>
      <c r="AJ20" s="37">
        <v>77866.55</v>
      </c>
      <c r="AK20" s="37">
        <v>83327.48</v>
      </c>
      <c r="AL20" s="37"/>
      <c r="AM20" s="37"/>
      <c r="AN20" s="37"/>
    </row>
    <row r="21" ht="15.75" customHeight="1">
      <c r="A21" s="24" t="s">
        <v>25</v>
      </c>
      <c r="B21" s="24" t="s">
        <v>20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>
        <v>0.3935</v>
      </c>
      <c r="T21" s="37">
        <v>0.4596</v>
      </c>
      <c r="U21" s="37"/>
      <c r="V21" s="37">
        <v>0.332351084150542</v>
      </c>
      <c r="W21" s="37">
        <v>0.370584565974226</v>
      </c>
      <c r="X21" s="37"/>
      <c r="Y21" s="37">
        <v>0.359217845681764</v>
      </c>
      <c r="Z21" s="37">
        <v>0.363066284443759</v>
      </c>
      <c r="AA21" s="37">
        <v>0.1265</v>
      </c>
      <c r="AB21" s="37">
        <v>0.0776</v>
      </c>
      <c r="AC21" s="37"/>
      <c r="AD21" s="37">
        <v>0.2434</v>
      </c>
      <c r="AE21" s="37">
        <v>0.2669</v>
      </c>
      <c r="AF21" s="37">
        <v>0.2671</v>
      </c>
      <c r="AG21" s="37">
        <v>0.2671</v>
      </c>
      <c r="AH21" s="37">
        <v>0.2869</v>
      </c>
      <c r="AI21" s="37">
        <v>0.188</v>
      </c>
      <c r="AJ21" s="37">
        <v>0.1227</v>
      </c>
      <c r="AK21" s="37">
        <v>0.0601</v>
      </c>
      <c r="AL21" s="37"/>
      <c r="AM21" s="37"/>
      <c r="AN21" s="37"/>
    </row>
    <row r="22" ht="15.75" customHeight="1">
      <c r="A22" s="24" t="s">
        <v>26</v>
      </c>
      <c r="B22" s="24" t="s">
        <v>20</v>
      </c>
      <c r="C22" s="38">
        <f t="shared" ref="C22:AN22" si="4">IFERROR(C7/C8,"")</f>
        <v>0.2091464182</v>
      </c>
      <c r="D22" s="38">
        <f t="shared" si="4"/>
        <v>0.377936091</v>
      </c>
      <c r="E22" s="38">
        <f t="shared" si="4"/>
        <v>0.5129238318</v>
      </c>
      <c r="F22" s="38">
        <f t="shared" si="4"/>
        <v>0.5234539551</v>
      </c>
      <c r="G22" s="38">
        <f t="shared" si="4"/>
        <v>0.4988925971</v>
      </c>
      <c r="H22" s="38">
        <f t="shared" si="4"/>
        <v>0.4962410711</v>
      </c>
      <c r="I22" s="38">
        <f t="shared" si="4"/>
        <v>0.5628846355</v>
      </c>
      <c r="J22" s="38">
        <f t="shared" si="4"/>
        <v>0.5137874026</v>
      </c>
      <c r="K22" s="38">
        <f t="shared" si="4"/>
        <v>0.7428563361</v>
      </c>
      <c r="L22" s="38">
        <f t="shared" si="4"/>
        <v>0.7072205085</v>
      </c>
      <c r="M22" s="38">
        <f t="shared" si="4"/>
        <v>0.7011613104</v>
      </c>
      <c r="N22" s="38">
        <f t="shared" si="4"/>
        <v>0.7901816036</v>
      </c>
      <c r="O22" s="38">
        <f t="shared" si="4"/>
        <v>0.8333683855</v>
      </c>
      <c r="P22" s="38">
        <f t="shared" si="4"/>
        <v>0.7940175068</v>
      </c>
      <c r="Q22" s="38">
        <f t="shared" si="4"/>
        <v>0.8238731678</v>
      </c>
      <c r="R22" s="38">
        <f t="shared" si="4"/>
        <v>0.7737449691</v>
      </c>
      <c r="S22" s="42">
        <f t="shared" si="4"/>
        <v>0.687075095</v>
      </c>
      <c r="T22" s="42">
        <f t="shared" si="4"/>
        <v>0.7888842063</v>
      </c>
      <c r="U22" s="38">
        <f t="shared" si="4"/>
        <v>0.6968625246</v>
      </c>
      <c r="V22" s="38">
        <f t="shared" si="4"/>
        <v>0.7107216048</v>
      </c>
      <c r="W22" s="38">
        <f t="shared" si="4"/>
        <v>0.8481187443</v>
      </c>
      <c r="X22" s="38">
        <f t="shared" si="4"/>
        <v>0.9407609887</v>
      </c>
      <c r="Y22" s="38">
        <f t="shared" si="4"/>
        <v>0.9079664355</v>
      </c>
      <c r="Z22" s="38">
        <f t="shared" si="4"/>
        <v>0.980186954</v>
      </c>
      <c r="AA22" s="38">
        <f t="shared" si="4"/>
        <v>0.8136339725</v>
      </c>
      <c r="AB22" s="38">
        <f t="shared" si="4"/>
        <v>0.6388213134</v>
      </c>
      <c r="AC22" s="38">
        <f t="shared" si="4"/>
        <v>0.8693353449</v>
      </c>
      <c r="AD22" s="38">
        <f t="shared" si="4"/>
        <v>0.8533052683</v>
      </c>
      <c r="AE22" s="38">
        <f t="shared" si="4"/>
        <v>1.016680724</v>
      </c>
      <c r="AF22" s="38">
        <f t="shared" si="4"/>
        <v>1.15283135</v>
      </c>
      <c r="AG22" s="38">
        <f t="shared" si="4"/>
        <v>1.097335825</v>
      </c>
      <c r="AH22" s="38">
        <f t="shared" si="4"/>
        <v>1.067358504</v>
      </c>
      <c r="AI22" s="38">
        <f t="shared" si="4"/>
        <v>0.9567584903</v>
      </c>
      <c r="AJ22" s="38">
        <f t="shared" si="4"/>
        <v>0.9035576089</v>
      </c>
      <c r="AK22" s="38">
        <f t="shared" si="4"/>
        <v>0.8951289947</v>
      </c>
      <c r="AL22" s="38" t="str">
        <f t="shared" si="4"/>
        <v/>
      </c>
      <c r="AM22" s="38" t="str">
        <f t="shared" si="4"/>
        <v/>
      </c>
      <c r="AN22" s="38" t="str">
        <f t="shared" si="4"/>
        <v/>
      </c>
    </row>
    <row r="23" ht="15.75" customHeight="1">
      <c r="A23" s="27" t="s">
        <v>27</v>
      </c>
      <c r="B23" s="29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ht="15.75" customHeight="1">
      <c r="A24" s="24" t="s">
        <v>28</v>
      </c>
      <c r="B24" s="24" t="s">
        <v>20</v>
      </c>
      <c r="C24" s="37"/>
      <c r="D24" s="37"/>
      <c r="E24" s="37"/>
      <c r="F24" s="37"/>
      <c r="G24" s="37"/>
      <c r="H24" s="37"/>
      <c r="I24" s="37"/>
      <c r="J24" s="37">
        <v>0.1239</v>
      </c>
      <c r="K24" s="37">
        <v>0.1245</v>
      </c>
      <c r="L24" s="37">
        <v>0.1401</v>
      </c>
      <c r="M24" s="37">
        <v>0.1427</v>
      </c>
      <c r="N24" s="37">
        <v>0.153</v>
      </c>
      <c r="O24" s="37">
        <v>0.1249</v>
      </c>
      <c r="P24" s="37">
        <v>0.132</v>
      </c>
      <c r="Q24" s="37">
        <v>0.1257</v>
      </c>
      <c r="R24" s="37">
        <v>0.1249</v>
      </c>
      <c r="S24" s="37">
        <v>0.1177</v>
      </c>
      <c r="T24" s="37">
        <v>0.1198</v>
      </c>
      <c r="U24" s="37">
        <v>0.1291</v>
      </c>
      <c r="V24" s="37">
        <v>0.1202</v>
      </c>
      <c r="W24" s="37">
        <v>0.1348</v>
      </c>
      <c r="X24" s="37">
        <v>0.0941</v>
      </c>
      <c r="Y24" s="37">
        <v>0.1013</v>
      </c>
      <c r="Z24" s="37">
        <v>0.1005</v>
      </c>
      <c r="AA24" s="37">
        <v>-0.0166</v>
      </c>
      <c r="AB24" s="37">
        <v>-0.2807</v>
      </c>
      <c r="AC24" s="37">
        <v>-0.0755</v>
      </c>
      <c r="AD24" s="37">
        <v>-0.1559</v>
      </c>
      <c r="AE24" s="37">
        <v>-0.1322</v>
      </c>
      <c r="AF24" s="37">
        <v>0.0825</v>
      </c>
      <c r="AG24" s="37">
        <v>0.0653</v>
      </c>
      <c r="AH24" s="37">
        <v>0.0308</v>
      </c>
      <c r="AI24" s="37">
        <v>0.0018</v>
      </c>
      <c r="AJ24" s="37">
        <v>-0.0136</v>
      </c>
      <c r="AK24" s="37">
        <v>-0.0335</v>
      </c>
      <c r="AL24" s="37"/>
      <c r="AM24" s="37"/>
      <c r="AN24" s="37"/>
    </row>
    <row r="25" ht="15.75" customHeight="1">
      <c r="A25" s="24" t="s">
        <v>29</v>
      </c>
      <c r="B25" s="24" t="s">
        <v>20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>
        <v>0.347570845209267</v>
      </c>
      <c r="W25" s="37">
        <v>0.314634714440599</v>
      </c>
      <c r="X25" s="37"/>
      <c r="Y25" s="37">
        <v>0.399901470758458</v>
      </c>
      <c r="Z25" s="37">
        <v>0.462686794531625</v>
      </c>
      <c r="AA25" s="37">
        <v>0.6525</v>
      </c>
      <c r="AB25" s="37">
        <v>1.6825</v>
      </c>
      <c r="AC25" s="37"/>
      <c r="AD25" s="37">
        <v>0.9673</v>
      </c>
      <c r="AE25" s="37">
        <v>0.8914</v>
      </c>
      <c r="AF25" s="37">
        <v>1.6439</v>
      </c>
      <c r="AG25" s="37"/>
      <c r="AH25" s="37"/>
      <c r="AI25" s="37"/>
      <c r="AJ25" s="37"/>
      <c r="AK25" s="37"/>
      <c r="AL25" s="37"/>
      <c r="AM25" s="37"/>
      <c r="AN25" s="37"/>
    </row>
    <row r="26" ht="15.75" customHeight="1">
      <c r="A26" s="27" t="s">
        <v>30</v>
      </c>
      <c r="B26" s="29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ht="15.75" customHeight="1">
      <c r="A27" s="24" t="s">
        <v>31</v>
      </c>
      <c r="B27" s="24" t="s">
        <v>20</v>
      </c>
      <c r="C27" s="38" t="str">
        <f t="shared" ref="C27:AN27" si="5">IF(OR(C20="",C6="",C6=0),"",C20/C6)</f>
        <v/>
      </c>
      <c r="D27" s="38" t="str">
        <f t="shared" si="5"/>
        <v/>
      </c>
      <c r="E27" s="38" t="str">
        <f t="shared" si="5"/>
        <v/>
      </c>
      <c r="F27" s="38" t="str">
        <f t="shared" si="5"/>
        <v/>
      </c>
      <c r="G27" s="38" t="str">
        <f t="shared" si="5"/>
        <v/>
      </c>
      <c r="H27" s="38" t="str">
        <f t="shared" si="5"/>
        <v/>
      </c>
      <c r="I27" s="38" t="str">
        <f t="shared" si="5"/>
        <v/>
      </c>
      <c r="J27" s="38" t="str">
        <f t="shared" si="5"/>
        <v/>
      </c>
      <c r="K27" s="38" t="str">
        <f t="shared" si="5"/>
        <v/>
      </c>
      <c r="L27" s="38" t="str">
        <f t="shared" si="5"/>
        <v/>
      </c>
      <c r="M27" s="38" t="str">
        <f t="shared" si="5"/>
        <v/>
      </c>
      <c r="N27" s="38" t="str">
        <f t="shared" si="5"/>
        <v/>
      </c>
      <c r="O27" s="38" t="str">
        <f t="shared" si="5"/>
        <v/>
      </c>
      <c r="P27" s="38" t="str">
        <f t="shared" si="5"/>
        <v/>
      </c>
      <c r="Q27" s="38" t="str">
        <f t="shared" si="5"/>
        <v/>
      </c>
      <c r="R27" s="38" t="str">
        <f t="shared" si="5"/>
        <v/>
      </c>
      <c r="S27" s="38">
        <f t="shared" si="5"/>
        <v>0.02573815142</v>
      </c>
      <c r="T27" s="38">
        <f t="shared" si="5"/>
        <v>0.02390685143</v>
      </c>
      <c r="U27" s="38" t="str">
        <f t="shared" si="5"/>
        <v/>
      </c>
      <c r="V27" s="38">
        <f t="shared" si="5"/>
        <v>0.0268154564</v>
      </c>
      <c r="W27" s="38">
        <f t="shared" si="5"/>
        <v>0.03117191968</v>
      </c>
      <c r="X27" s="38" t="str">
        <f t="shared" si="5"/>
        <v/>
      </c>
      <c r="Y27" s="38">
        <f t="shared" si="5"/>
        <v>0.03190740485</v>
      </c>
      <c r="Z27" s="38">
        <f t="shared" si="5"/>
        <v>0.06441969635</v>
      </c>
      <c r="AA27" s="38">
        <f t="shared" si="5"/>
        <v>0.2002602116</v>
      </c>
      <c r="AB27" s="38">
        <f t="shared" si="5"/>
        <v>0.2985717561</v>
      </c>
      <c r="AC27" s="38" t="str">
        <f t="shared" si="5"/>
        <v/>
      </c>
      <c r="AD27" s="38">
        <f t="shared" si="5"/>
        <v>0.3565839208</v>
      </c>
      <c r="AE27" s="38">
        <f t="shared" si="5"/>
        <v>0.4000161556</v>
      </c>
      <c r="AF27" s="38">
        <f t="shared" si="5"/>
        <v>0.451022265</v>
      </c>
      <c r="AG27" s="38">
        <f t="shared" si="5"/>
        <v>0.4050386944</v>
      </c>
      <c r="AH27" s="38">
        <f t="shared" si="5"/>
        <v>0.3921222476</v>
      </c>
      <c r="AI27" s="38">
        <f t="shared" si="5"/>
        <v>0.441689884</v>
      </c>
      <c r="AJ27" s="38">
        <f t="shared" si="5"/>
        <v>0.4312121852</v>
      </c>
      <c r="AK27" s="38">
        <f t="shared" si="5"/>
        <v>0.495461806</v>
      </c>
      <c r="AL27" s="38" t="str">
        <f t="shared" si="5"/>
        <v/>
      </c>
      <c r="AM27" s="38" t="str">
        <f t="shared" si="5"/>
        <v/>
      </c>
      <c r="AN27" s="38" t="str">
        <f t="shared" si="5"/>
        <v/>
      </c>
    </row>
    <row r="28" ht="15.75" customHeight="1">
      <c r="A28" s="24" t="s">
        <v>32</v>
      </c>
      <c r="B28" s="24" t="s">
        <v>20</v>
      </c>
      <c r="C28" s="43"/>
      <c r="D28" s="38">
        <f t="shared" ref="D28:AN28" si="6">IFERROR((D13-C13)/ABS(C13),"")</f>
        <v>2</v>
      </c>
      <c r="E28" s="38">
        <f t="shared" si="6"/>
        <v>-0.122324159</v>
      </c>
      <c r="F28" s="38">
        <f t="shared" si="6"/>
        <v>0.4390243902</v>
      </c>
      <c r="G28" s="38">
        <f t="shared" si="6"/>
        <v>3.196125908</v>
      </c>
      <c r="H28" s="38">
        <f t="shared" si="6"/>
        <v>0.4818234276</v>
      </c>
      <c r="I28" s="38">
        <f t="shared" si="6"/>
        <v>1.043613707</v>
      </c>
      <c r="J28" s="38">
        <f t="shared" si="6"/>
        <v>0.1008003049</v>
      </c>
      <c r="K28" s="38">
        <f t="shared" si="6"/>
        <v>0.637701229</v>
      </c>
      <c r="L28" s="38">
        <f t="shared" si="6"/>
        <v>0.4390656379</v>
      </c>
      <c r="M28" s="38">
        <f t="shared" si="6"/>
        <v>0.1748071979</v>
      </c>
      <c r="N28" s="38">
        <f t="shared" si="6"/>
        <v>0.08371366052</v>
      </c>
      <c r="O28" s="38">
        <f t="shared" si="6"/>
        <v>0.2326641283</v>
      </c>
      <c r="P28" s="38">
        <f t="shared" si="6"/>
        <v>0.1772827257</v>
      </c>
      <c r="Q28" s="38">
        <f t="shared" si="6"/>
        <v>-0.06026634864</v>
      </c>
      <c r="R28" s="38">
        <f t="shared" si="6"/>
        <v>0.2330470832</v>
      </c>
      <c r="S28" s="38">
        <f t="shared" si="6"/>
        <v>-0.02055029505</v>
      </c>
      <c r="T28" s="38">
        <f t="shared" si="6"/>
        <v>0.9410136958</v>
      </c>
      <c r="U28" s="38">
        <f t="shared" si="6"/>
        <v>-0.4893709171</v>
      </c>
      <c r="V28" s="38">
        <f t="shared" si="6"/>
        <v>0.9432428612</v>
      </c>
      <c r="W28" s="38">
        <f t="shared" si="6"/>
        <v>0.1800276434</v>
      </c>
      <c r="X28" s="38">
        <f t="shared" si="6"/>
        <v>0.01861755413</v>
      </c>
      <c r="Y28" s="38">
        <f t="shared" si="6"/>
        <v>0.4768734964</v>
      </c>
      <c r="Z28" s="38">
        <f t="shared" si="6"/>
        <v>-0.9714274006</v>
      </c>
      <c r="AA28" s="38">
        <f t="shared" si="6"/>
        <v>-20.05808534</v>
      </c>
      <c r="AB28" s="38">
        <f t="shared" si="6"/>
        <v>-1.069798506</v>
      </c>
      <c r="AC28" s="38">
        <f t="shared" si="6"/>
        <v>-1.854457533</v>
      </c>
      <c r="AD28" s="38">
        <f t="shared" si="6"/>
        <v>-3.754359373</v>
      </c>
      <c r="AE28" s="38">
        <f t="shared" si="6"/>
        <v>0.54162715</v>
      </c>
      <c r="AF28" s="38">
        <f t="shared" si="6"/>
        <v>0.4828886171</v>
      </c>
      <c r="AG28" s="38">
        <f t="shared" si="6"/>
        <v>0.07627121039</v>
      </c>
      <c r="AH28" s="38">
        <f t="shared" si="6"/>
        <v>-0.1373954965</v>
      </c>
      <c r="AI28" s="38">
        <f t="shared" si="6"/>
        <v>-0.06767020424</v>
      </c>
      <c r="AJ28" s="38">
        <f t="shared" si="6"/>
        <v>0.6721111192</v>
      </c>
      <c r="AK28" s="38">
        <f t="shared" si="6"/>
        <v>-2.198209964</v>
      </c>
      <c r="AL28" s="38">
        <f t="shared" si="6"/>
        <v>1</v>
      </c>
      <c r="AM28" s="38" t="str">
        <f t="shared" si="6"/>
        <v/>
      </c>
      <c r="AN28" s="38" t="str">
        <f t="shared" si="6"/>
        <v/>
      </c>
    </row>
    <row r="29" ht="15.75" customHeight="1">
      <c r="A29" s="24" t="s">
        <v>33</v>
      </c>
      <c r="B29" s="24" t="s">
        <v>20</v>
      </c>
      <c r="C29" s="43"/>
      <c r="D29" s="38">
        <f t="shared" ref="D29:AN29" si="7">IFERROR((D6-C6)/C6,"")</f>
        <v>0.6273940944</v>
      </c>
      <c r="E29" s="38">
        <f t="shared" si="7"/>
        <v>0.4977413848</v>
      </c>
      <c r="F29" s="38">
        <f t="shared" si="7"/>
        <v>0.661286906</v>
      </c>
      <c r="G29" s="38">
        <f t="shared" si="7"/>
        <v>0.4093506178</v>
      </c>
      <c r="H29" s="38">
        <f t="shared" si="7"/>
        <v>0.1243876905</v>
      </c>
      <c r="I29" s="38">
        <f t="shared" si="7"/>
        <v>0.2568385156</v>
      </c>
      <c r="J29" s="38">
        <f t="shared" si="7"/>
        <v>0.2080355836</v>
      </c>
      <c r="K29" s="38">
        <f t="shared" si="7"/>
        <v>0.0978132768</v>
      </c>
      <c r="L29" s="38">
        <f t="shared" si="7"/>
        <v>0.2920434745</v>
      </c>
      <c r="M29" s="38">
        <f t="shared" si="7"/>
        <v>0.2762353284</v>
      </c>
      <c r="N29" s="38">
        <f t="shared" si="7"/>
        <v>0.07772017114</v>
      </c>
      <c r="O29" s="38">
        <f t="shared" si="7"/>
        <v>0.2575792266</v>
      </c>
      <c r="P29" s="38">
        <f t="shared" si="7"/>
        <v>0.3391805948</v>
      </c>
      <c r="Q29" s="38">
        <f t="shared" si="7"/>
        <v>0.1341764841</v>
      </c>
      <c r="R29" s="38">
        <f t="shared" si="7"/>
        <v>0.3162771767</v>
      </c>
      <c r="S29" s="38">
        <f t="shared" si="7"/>
        <v>0.3961501438</v>
      </c>
      <c r="T29" s="38">
        <f t="shared" si="7"/>
        <v>0.08404661346</v>
      </c>
      <c r="U29" s="38">
        <f t="shared" si="7"/>
        <v>0.3180742895</v>
      </c>
      <c r="V29" s="38">
        <f t="shared" si="7"/>
        <v>0.2033872777</v>
      </c>
      <c r="W29" s="38">
        <f t="shared" si="7"/>
        <v>-0.02896954846</v>
      </c>
      <c r="X29" s="38">
        <f t="shared" si="7"/>
        <v>0.35889818</v>
      </c>
      <c r="Y29" s="38">
        <f t="shared" si="7"/>
        <v>0.2673788497</v>
      </c>
      <c r="Z29" s="38">
        <f t="shared" si="7"/>
        <v>0.4056084621</v>
      </c>
      <c r="AA29" s="38">
        <f t="shared" si="7"/>
        <v>0.4320681978</v>
      </c>
      <c r="AB29" s="38">
        <f t="shared" si="7"/>
        <v>0.08942601488</v>
      </c>
      <c r="AC29" s="38">
        <f t="shared" si="7"/>
        <v>0.134730178</v>
      </c>
      <c r="AD29" s="38">
        <f t="shared" si="7"/>
        <v>0.05441668208</v>
      </c>
      <c r="AE29" s="38">
        <f t="shared" si="7"/>
        <v>-0.02892923075</v>
      </c>
      <c r="AF29" s="38">
        <f t="shared" si="7"/>
        <v>-0.0364972414</v>
      </c>
      <c r="AG29" s="38">
        <f t="shared" si="7"/>
        <v>0.01751698067</v>
      </c>
      <c r="AH29" s="38">
        <f t="shared" si="7"/>
        <v>0.009040870279</v>
      </c>
      <c r="AI29" s="38">
        <f t="shared" si="7"/>
        <v>-0.005678464179</v>
      </c>
      <c r="AJ29" s="38">
        <f t="shared" si="7"/>
        <v>-0.07662761584</v>
      </c>
      <c r="AK29" s="38">
        <f t="shared" si="7"/>
        <v>-0.06863876391</v>
      </c>
      <c r="AL29" s="38">
        <f t="shared" si="7"/>
        <v>-1</v>
      </c>
      <c r="AM29" s="38" t="str">
        <f t="shared" si="7"/>
        <v/>
      </c>
      <c r="AN29" s="38" t="str">
        <f t="shared" si="7"/>
        <v/>
      </c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88"/>
    <col customWidth="1" min="2" max="19" width="13.0"/>
  </cols>
  <sheetData>
    <row r="1" ht="4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6" t="s">
        <v>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"/>
      <c r="U3" s="1"/>
      <c r="V3" s="1"/>
      <c r="W3" s="1"/>
      <c r="X3" s="1"/>
      <c r="Y3" s="1"/>
      <c r="Z3" s="1"/>
    </row>
    <row r="4" ht="15.75" customHeight="1">
      <c r="A4" s="8" t="s">
        <v>4</v>
      </c>
      <c r="B4" s="8" t="s">
        <v>5</v>
      </c>
      <c r="C4" s="10">
        <v>2010.0</v>
      </c>
      <c r="D4" s="13">
        <f t="shared" ref="D4:S4" si="1">C4+1</f>
        <v>2011</v>
      </c>
      <c r="E4" s="13">
        <f t="shared" si="1"/>
        <v>2012</v>
      </c>
      <c r="F4" s="13">
        <f t="shared" si="1"/>
        <v>2013</v>
      </c>
      <c r="G4" s="13">
        <f t="shared" si="1"/>
        <v>2014</v>
      </c>
      <c r="H4" s="13">
        <f t="shared" si="1"/>
        <v>2015</v>
      </c>
      <c r="I4" s="13">
        <f t="shared" si="1"/>
        <v>2016</v>
      </c>
      <c r="J4" s="13">
        <f t="shared" si="1"/>
        <v>2017</v>
      </c>
      <c r="K4" s="13">
        <f t="shared" si="1"/>
        <v>2018</v>
      </c>
      <c r="L4" s="13">
        <f t="shared" si="1"/>
        <v>2019</v>
      </c>
      <c r="M4" s="13">
        <f t="shared" si="1"/>
        <v>2020</v>
      </c>
      <c r="N4" s="13">
        <f t="shared" si="1"/>
        <v>2021</v>
      </c>
      <c r="O4" s="13">
        <f t="shared" si="1"/>
        <v>2022</v>
      </c>
      <c r="P4" s="13">
        <f t="shared" si="1"/>
        <v>2023</v>
      </c>
      <c r="Q4" s="13">
        <f t="shared" si="1"/>
        <v>2024</v>
      </c>
      <c r="R4" s="13">
        <f t="shared" si="1"/>
        <v>2025</v>
      </c>
      <c r="S4" s="13">
        <f t="shared" si="1"/>
        <v>2026</v>
      </c>
      <c r="T4" s="19"/>
      <c r="U4" s="19"/>
      <c r="V4" s="19"/>
      <c r="W4" s="19"/>
      <c r="X4" s="19"/>
      <c r="Y4" s="19"/>
      <c r="Z4" s="19"/>
    </row>
    <row r="5" ht="15.75" customHeight="1">
      <c r="A5" s="20" t="s">
        <v>6</v>
      </c>
      <c r="B5" s="2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</row>
    <row r="6" ht="15.75" customHeight="1">
      <c r="A6" s="24" t="s">
        <v>7</v>
      </c>
      <c r="B6" s="24" t="s">
        <v>8</v>
      </c>
      <c r="C6" s="25">
        <v>27518.8</v>
      </c>
      <c r="D6" s="25">
        <v>28847.7</v>
      </c>
      <c r="E6" s="25">
        <v>32710.5</v>
      </c>
      <c r="F6" s="25">
        <v>46857.8</v>
      </c>
      <c r="G6" s="25">
        <v>50259.9</v>
      </c>
      <c r="H6" s="25">
        <v>51456.4</v>
      </c>
      <c r="I6" s="25">
        <v>54541.4</v>
      </c>
      <c r="J6" s="25">
        <v>58058.0</v>
      </c>
      <c r="K6" s="25">
        <v>59191.0</v>
      </c>
      <c r="L6" s="25">
        <v>58396.0</v>
      </c>
      <c r="M6" s="25">
        <v>55302.0</v>
      </c>
      <c r="N6" s="25">
        <v>61156.6</v>
      </c>
      <c r="O6" s="25">
        <v>60968.6</v>
      </c>
      <c r="P6" s="25">
        <v>63504.3</v>
      </c>
      <c r="Q6" s="25">
        <v>59896.9</v>
      </c>
      <c r="R6" s="25"/>
      <c r="S6" s="25"/>
      <c r="T6" s="1"/>
      <c r="U6" s="1"/>
      <c r="V6" s="1"/>
      <c r="W6" s="1"/>
      <c r="X6" s="1"/>
      <c r="Y6" s="1"/>
      <c r="Z6" s="1"/>
    </row>
    <row r="7" ht="15.75" customHeight="1">
      <c r="A7" s="24" t="s">
        <v>9</v>
      </c>
      <c r="B7" s="24" t="s">
        <v>8</v>
      </c>
      <c r="C7" s="25">
        <v>9906.0</v>
      </c>
      <c r="D7" s="25">
        <v>10046.1</v>
      </c>
      <c r="E7" s="25">
        <v>14743.1</v>
      </c>
      <c r="F7" s="25">
        <v>15457.2</v>
      </c>
      <c r="G7" s="25">
        <v>16501.0</v>
      </c>
      <c r="H7" s="25">
        <v>18137.5</v>
      </c>
      <c r="I7" s="25">
        <v>18078.4</v>
      </c>
      <c r="J7" s="25">
        <v>17946.0</v>
      </c>
      <c r="K7" s="25">
        <v>19307.0</v>
      </c>
      <c r="L7" s="25">
        <v>19984.0</v>
      </c>
      <c r="M7" s="25">
        <v>21290.0</v>
      </c>
      <c r="N7" s="25">
        <v>24134.3</v>
      </c>
      <c r="O7" s="25">
        <v>24796.6</v>
      </c>
      <c r="P7" s="25">
        <v>26571.1</v>
      </c>
      <c r="Q7" s="25">
        <v>25549.5</v>
      </c>
      <c r="R7" s="25"/>
      <c r="S7" s="25"/>
      <c r="T7" s="1"/>
      <c r="U7" s="1"/>
      <c r="V7" s="1"/>
      <c r="W7" s="1"/>
      <c r="X7" s="1"/>
      <c r="Y7" s="1"/>
      <c r="Z7" s="1"/>
    </row>
    <row r="8" ht="15.75" customHeight="1">
      <c r="A8" s="24" t="s">
        <v>10</v>
      </c>
      <c r="B8" s="24" t="s">
        <v>8</v>
      </c>
      <c r="C8" s="25">
        <v>3254.0</v>
      </c>
      <c r="D8" s="25">
        <v>4706.8</v>
      </c>
      <c r="E8" s="25">
        <v>7945.5</v>
      </c>
      <c r="F8" s="25">
        <v>19988.8</v>
      </c>
      <c r="G8" s="25">
        <v>23350.1</v>
      </c>
      <c r="H8" s="25">
        <v>23371.7</v>
      </c>
      <c r="I8" s="25">
        <v>26374.9</v>
      </c>
      <c r="J8" s="25">
        <v>28580.0</v>
      </c>
      <c r="K8" s="25">
        <v>28312.0</v>
      </c>
      <c r="L8" s="25">
        <v>27646.0</v>
      </c>
      <c r="M8" s="25">
        <v>24219.0</v>
      </c>
      <c r="N8" s="25">
        <v>29005.1</v>
      </c>
      <c r="O8" s="25">
        <v>29145.0</v>
      </c>
      <c r="P8" s="25">
        <v>30535.6</v>
      </c>
      <c r="Q8" s="25">
        <v>27530.6</v>
      </c>
      <c r="R8" s="25"/>
      <c r="S8" s="25"/>
      <c r="T8" s="1"/>
      <c r="U8" s="1"/>
      <c r="V8" s="1"/>
      <c r="W8" s="1"/>
      <c r="X8" s="1"/>
      <c r="Y8" s="1"/>
      <c r="Z8" s="1"/>
    </row>
    <row r="9" ht="15.75" customHeight="1">
      <c r="A9" s="24" t="s">
        <v>11</v>
      </c>
      <c r="B9" s="24" t="s">
        <v>8</v>
      </c>
      <c r="C9" s="25">
        <v>15637.3</v>
      </c>
      <c r="D9" s="25">
        <v>14863.8</v>
      </c>
      <c r="E9" s="25">
        <v>15698.8</v>
      </c>
      <c r="F9" s="25">
        <v>16470.3</v>
      </c>
      <c r="G9" s="25">
        <v>17537.8</v>
      </c>
      <c r="H9" s="25">
        <v>17983.9</v>
      </c>
      <c r="I9" s="25">
        <v>18189.8</v>
      </c>
      <c r="J9" s="25">
        <v>18552.0</v>
      </c>
      <c r="K9" s="25">
        <v>19102.0</v>
      </c>
      <c r="L9" s="25">
        <v>19072.0</v>
      </c>
      <c r="M9" s="25">
        <v>19023.0</v>
      </c>
      <c r="N9" s="25">
        <v>18994.6</v>
      </c>
      <c r="O9" s="25">
        <v>19106.0</v>
      </c>
      <c r="P9" s="25">
        <v>19116.7</v>
      </c>
      <c r="Q9" s="25">
        <v>19093.0</v>
      </c>
      <c r="R9" s="25"/>
      <c r="S9" s="25"/>
      <c r="T9" s="1"/>
      <c r="U9" s="1"/>
      <c r="V9" s="1"/>
      <c r="W9" s="1"/>
      <c r="X9" s="1"/>
      <c r="Y9" s="1"/>
      <c r="Z9" s="1"/>
    </row>
    <row r="10" ht="15.75" customHeight="1">
      <c r="A10" s="20" t="s">
        <v>12</v>
      </c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3"/>
      <c r="V10" s="23"/>
      <c r="W10" s="23"/>
      <c r="X10" s="23"/>
      <c r="Y10" s="23"/>
      <c r="Z10" s="23"/>
    </row>
    <row r="11" ht="15.75" customHeight="1">
      <c r="A11" s="24" t="s">
        <v>13</v>
      </c>
      <c r="B11" s="24" t="s">
        <v>8</v>
      </c>
      <c r="C11" s="25">
        <v>684.6</v>
      </c>
      <c r="D11" s="25">
        <v>895.8</v>
      </c>
      <c r="E11" s="25">
        <v>879.8</v>
      </c>
      <c r="F11" s="25">
        <v>949.1</v>
      </c>
      <c r="G11" s="25">
        <v>301.5</v>
      </c>
      <c r="H11" s="25">
        <v>318.5</v>
      </c>
      <c r="I11" s="25">
        <v>304.9</v>
      </c>
      <c r="J11" s="25">
        <v>522.4</v>
      </c>
      <c r="K11" s="25">
        <v>1155.9</v>
      </c>
      <c r="L11" s="25">
        <v>659.3</v>
      </c>
      <c r="M11" s="25">
        <v>340.1</v>
      </c>
      <c r="N11" s="25">
        <v>161.7</v>
      </c>
      <c r="O11" s="25">
        <v>389.2</v>
      </c>
      <c r="P11" s="25">
        <v>440.7</v>
      </c>
      <c r="Q11" s="25">
        <v>75.7</v>
      </c>
      <c r="R11" s="25"/>
      <c r="S11" s="25"/>
      <c r="T11" s="1"/>
      <c r="U11" s="1"/>
      <c r="V11" s="1"/>
      <c r="W11" s="1"/>
      <c r="X11" s="1"/>
      <c r="Y11" s="1"/>
      <c r="Z11" s="1"/>
    </row>
    <row r="12" ht="15.75" customHeight="1">
      <c r="A12" s="24" t="s">
        <v>14</v>
      </c>
      <c r="B12" s="24" t="s">
        <v>8</v>
      </c>
      <c r="C12" s="25">
        <v>1037.9</v>
      </c>
      <c r="D12" s="25">
        <v>703.4</v>
      </c>
      <c r="E12" s="25">
        <v>1011.9</v>
      </c>
      <c r="F12" s="25">
        <v>2321.8</v>
      </c>
      <c r="G12" s="25">
        <v>2379.7</v>
      </c>
      <c r="H12" s="25">
        <v>1856.4</v>
      </c>
      <c r="I12" s="25">
        <v>1599.7</v>
      </c>
      <c r="J12" s="25">
        <v>1819.2</v>
      </c>
      <c r="K12" s="25">
        <v>1332.5</v>
      </c>
      <c r="L12" s="25">
        <v>824.3</v>
      </c>
      <c r="M12" s="25">
        <v>960.4</v>
      </c>
      <c r="N12" s="25">
        <v>1462.8</v>
      </c>
      <c r="O12" s="25">
        <v>1378.3</v>
      </c>
      <c r="P12" s="25">
        <v>1070.4</v>
      </c>
      <c r="Q12" s="25">
        <v>1465.5</v>
      </c>
      <c r="R12" s="25"/>
      <c r="S12" s="25"/>
      <c r="T12" s="1"/>
      <c r="U12" s="1"/>
      <c r="V12" s="1"/>
      <c r="W12" s="1"/>
      <c r="X12" s="1"/>
      <c r="Y12" s="1"/>
      <c r="Z12" s="1"/>
    </row>
    <row r="13" ht="15.75" customHeight="1">
      <c r="A13" s="24" t="s">
        <v>15</v>
      </c>
      <c r="B13" s="24" t="s">
        <v>8</v>
      </c>
      <c r="C13" s="25">
        <v>644.5</v>
      </c>
      <c r="D13" s="25">
        <v>686.0</v>
      </c>
      <c r="E13" s="25">
        <v>837.0</v>
      </c>
      <c r="F13" s="25">
        <v>883.0</v>
      </c>
      <c r="G13" s="25">
        <v>1129.2</v>
      </c>
      <c r="H13" s="25">
        <v>517.3</v>
      </c>
      <c r="I13" s="25">
        <v>382.3</v>
      </c>
      <c r="J13" s="25">
        <v>563.2</v>
      </c>
      <c r="K13" s="25">
        <v>748.9</v>
      </c>
      <c r="L13" s="25">
        <v>65.6</v>
      </c>
      <c r="M13" s="25">
        <v>44.9</v>
      </c>
      <c r="N13" s="25">
        <v>63.8</v>
      </c>
      <c r="O13" s="25">
        <v>101.3</v>
      </c>
      <c r="P13" s="25">
        <v>102.0</v>
      </c>
      <c r="Q13" s="25">
        <v>55.8</v>
      </c>
      <c r="R13" s="25"/>
      <c r="S13" s="25"/>
      <c r="T13" s="1"/>
      <c r="U13" s="1"/>
      <c r="V13" s="1"/>
      <c r="W13" s="1"/>
      <c r="X13" s="1"/>
      <c r="Y13" s="1"/>
      <c r="Z13" s="1"/>
    </row>
    <row r="14" ht="15.75" customHeight="1">
      <c r="A14" s="20" t="s">
        <v>16</v>
      </c>
      <c r="B14" s="2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23"/>
      <c r="V14" s="23"/>
      <c r="W14" s="23"/>
      <c r="X14" s="23"/>
      <c r="Y14" s="23"/>
      <c r="Z14" s="23"/>
    </row>
    <row r="15" ht="15.75" customHeight="1">
      <c r="A15" s="24" t="s">
        <v>17</v>
      </c>
      <c r="B15" s="24" t="s">
        <v>18</v>
      </c>
      <c r="C15" s="35">
        <v>16.11</v>
      </c>
      <c r="D15" s="35">
        <v>17.15</v>
      </c>
      <c r="E15" s="35">
        <v>20.92</v>
      </c>
      <c r="F15" s="35">
        <v>22.07</v>
      </c>
      <c r="G15" s="35">
        <v>28.23</v>
      </c>
      <c r="H15" s="35">
        <v>12.93</v>
      </c>
      <c r="I15" s="35">
        <v>9.56</v>
      </c>
      <c r="J15" s="35">
        <v>14.08</v>
      </c>
      <c r="K15" s="35">
        <v>18.72</v>
      </c>
      <c r="L15" s="35">
        <v>1.64</v>
      </c>
      <c r="M15" s="35">
        <v>1.12</v>
      </c>
      <c r="N15" s="35">
        <v>1.06</v>
      </c>
      <c r="O15" s="35">
        <v>1.69</v>
      </c>
      <c r="P15" s="35">
        <v>1.7</v>
      </c>
      <c r="Q15" s="35">
        <v>0.93</v>
      </c>
      <c r="R15" s="37"/>
      <c r="S15" s="37"/>
      <c r="T15" s="1"/>
      <c r="U15" s="1"/>
      <c r="V15" s="1"/>
      <c r="W15" s="1"/>
      <c r="X15" s="1"/>
      <c r="Y15" s="1"/>
      <c r="Z15" s="1"/>
    </row>
    <row r="16" ht="15.75" customHeight="1">
      <c r="A16" s="24" t="s">
        <v>19</v>
      </c>
      <c r="B16" s="24" t="s">
        <v>20</v>
      </c>
      <c r="C16" s="38">
        <f t="shared" ref="C16:S16" si="2">IF(OR(C13="",C6=""),"",C13/C6)</f>
        <v>0.02342035263</v>
      </c>
      <c r="D16" s="38">
        <f t="shared" si="2"/>
        <v>0.02378005872</v>
      </c>
      <c r="E16" s="38">
        <f t="shared" si="2"/>
        <v>0.02558811391</v>
      </c>
      <c r="F16" s="38">
        <f t="shared" si="2"/>
        <v>0.01884424792</v>
      </c>
      <c r="G16" s="38">
        <f t="shared" si="2"/>
        <v>0.02246721541</v>
      </c>
      <c r="H16" s="38">
        <f t="shared" si="2"/>
        <v>0.01005317123</v>
      </c>
      <c r="I16" s="38">
        <f t="shared" si="2"/>
        <v>0.007009354362</v>
      </c>
      <c r="J16" s="38">
        <f t="shared" si="2"/>
        <v>0.009700644183</v>
      </c>
      <c r="K16" s="38">
        <f t="shared" si="2"/>
        <v>0.01265226132</v>
      </c>
      <c r="L16" s="38">
        <f t="shared" si="2"/>
        <v>0.001123364614</v>
      </c>
      <c r="M16" s="38">
        <f t="shared" si="2"/>
        <v>0.0008119055369</v>
      </c>
      <c r="N16" s="38">
        <f t="shared" si="2"/>
        <v>0.001043223462</v>
      </c>
      <c r="O16" s="38">
        <f t="shared" si="2"/>
        <v>0.001661511007</v>
      </c>
      <c r="P16" s="38">
        <f t="shared" si="2"/>
        <v>0.001606190447</v>
      </c>
      <c r="Q16" s="38">
        <f t="shared" si="2"/>
        <v>0.0009316008007</v>
      </c>
      <c r="R16" s="38" t="str">
        <f t="shared" si="2"/>
        <v/>
      </c>
      <c r="S16" s="38" t="str">
        <f t="shared" si="2"/>
        <v/>
      </c>
      <c r="T16" s="1"/>
      <c r="U16" s="1"/>
      <c r="V16" s="1"/>
      <c r="W16" s="1"/>
      <c r="X16" s="1"/>
      <c r="Y16" s="1"/>
      <c r="Z16" s="1"/>
    </row>
    <row r="17" ht="15.75" customHeight="1">
      <c r="A17" s="24" t="s">
        <v>21</v>
      </c>
      <c r="B17" s="24" t="s">
        <v>20</v>
      </c>
      <c r="C17" s="38">
        <f t="shared" ref="C17:S17" si="3">IF(OR(C13="",C9=""),"",C13/C9)</f>
        <v>0.04121555512</v>
      </c>
      <c r="D17" s="38">
        <f t="shared" si="3"/>
        <v>0.0461523971</v>
      </c>
      <c r="E17" s="38">
        <f t="shared" si="3"/>
        <v>0.05331617703</v>
      </c>
      <c r="F17" s="38">
        <f t="shared" si="3"/>
        <v>0.05361165249</v>
      </c>
      <c r="G17" s="38">
        <f t="shared" si="3"/>
        <v>0.06438663915</v>
      </c>
      <c r="H17" s="38">
        <f t="shared" si="3"/>
        <v>0.02876461724</v>
      </c>
      <c r="I17" s="38">
        <f t="shared" si="3"/>
        <v>0.02101727342</v>
      </c>
      <c r="J17" s="38">
        <f t="shared" si="3"/>
        <v>0.03035791289</v>
      </c>
      <c r="K17" s="38">
        <f t="shared" si="3"/>
        <v>0.03920531881</v>
      </c>
      <c r="L17" s="38">
        <f t="shared" si="3"/>
        <v>0.003439597315</v>
      </c>
      <c r="M17" s="38">
        <f t="shared" si="3"/>
        <v>0.002360300689</v>
      </c>
      <c r="N17" s="38">
        <f t="shared" si="3"/>
        <v>0.003358849357</v>
      </c>
      <c r="O17" s="38">
        <f t="shared" si="3"/>
        <v>0.005301999372</v>
      </c>
      <c r="P17" s="38">
        <f t="shared" si="3"/>
        <v>0.005335648935</v>
      </c>
      <c r="Q17" s="38">
        <f t="shared" si="3"/>
        <v>0.002922537055</v>
      </c>
      <c r="R17" s="38" t="str">
        <f t="shared" si="3"/>
        <v/>
      </c>
      <c r="S17" s="38" t="str">
        <f t="shared" si="3"/>
        <v/>
      </c>
      <c r="T17" s="1"/>
      <c r="U17" s="1"/>
      <c r="V17" s="1"/>
      <c r="W17" s="1"/>
      <c r="X17" s="1"/>
      <c r="Y17" s="1"/>
      <c r="Z17" s="1"/>
    </row>
    <row r="18" ht="15.75" customHeight="1">
      <c r="A18" s="20" t="s">
        <v>22</v>
      </c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3"/>
      <c r="U18" s="23"/>
      <c r="V18" s="23"/>
      <c r="W18" s="23"/>
      <c r="X18" s="23"/>
      <c r="Y18" s="23"/>
      <c r="Z18" s="23"/>
    </row>
    <row r="19" ht="15.75" customHeight="1">
      <c r="A19" s="24" t="s">
        <v>23</v>
      </c>
      <c r="B19" s="24" t="s">
        <v>20</v>
      </c>
      <c r="C19" s="40">
        <v>0.3131</v>
      </c>
      <c r="D19" s="40">
        <v>0.3828</v>
      </c>
      <c r="E19" s="40">
        <v>0.4299</v>
      </c>
      <c r="F19" s="40">
        <v>0.4</v>
      </c>
      <c r="G19" s="40">
        <v>0.3832</v>
      </c>
      <c r="H19" s="40">
        <v>0.4518</v>
      </c>
      <c r="I19" s="40">
        <v>0.4958</v>
      </c>
      <c r="J19" s="40">
        <v>0.4653</v>
      </c>
      <c r="K19" s="40">
        <v>0.4607</v>
      </c>
      <c r="L19" s="40">
        <v>0.3834</v>
      </c>
      <c r="M19" s="40">
        <v>0.2801</v>
      </c>
      <c r="N19" s="40">
        <v>0.3077</v>
      </c>
      <c r="O19" s="40">
        <v>0.4137</v>
      </c>
      <c r="P19" s="40">
        <v>0.3739</v>
      </c>
      <c r="Q19" s="40">
        <v>0.413</v>
      </c>
      <c r="R19" s="37"/>
      <c r="S19" s="37"/>
      <c r="T19" s="1"/>
      <c r="U19" s="1"/>
      <c r="V19" s="1"/>
      <c r="W19" s="1"/>
      <c r="X19" s="1"/>
      <c r="Y19" s="1"/>
      <c r="Z19" s="1"/>
    </row>
    <row r="20" ht="15.75" customHeight="1">
      <c r="A20" s="24" t="s">
        <v>24</v>
      </c>
      <c r="B20" s="24" t="s">
        <v>8</v>
      </c>
      <c r="C20" s="25">
        <v>3101.7</v>
      </c>
      <c r="D20" s="25">
        <v>3107.0</v>
      </c>
      <c r="E20" s="25">
        <v>5417.9</v>
      </c>
      <c r="F20" s="25">
        <v>5202.7</v>
      </c>
      <c r="G20" s="25">
        <v>5241.4</v>
      </c>
      <c r="H20" s="25">
        <v>6945.6</v>
      </c>
      <c r="I20" s="25">
        <v>7318.3</v>
      </c>
      <c r="J20" s="25">
        <v>8350.3</v>
      </c>
      <c r="K20" s="25">
        <v>8895.6</v>
      </c>
      <c r="L20" s="25">
        <v>7662.5</v>
      </c>
      <c r="M20" s="25">
        <v>5962.6</v>
      </c>
      <c r="N20" s="25">
        <v>7426.2</v>
      </c>
      <c r="O20" s="25">
        <v>10259.0</v>
      </c>
      <c r="P20" s="25">
        <v>9934.1</v>
      </c>
      <c r="Q20" s="25">
        <v>10552.2</v>
      </c>
      <c r="R20" s="37"/>
      <c r="S20" s="37"/>
      <c r="T20" s="1"/>
      <c r="U20" s="1"/>
      <c r="V20" s="1"/>
      <c r="W20" s="1"/>
      <c r="X20" s="1"/>
      <c r="Y20" s="1"/>
      <c r="Z20" s="1"/>
    </row>
    <row r="21" ht="15.75" customHeight="1">
      <c r="A21" s="24" t="s">
        <v>25</v>
      </c>
      <c r="B21" s="24" t="s">
        <v>20</v>
      </c>
      <c r="C21" s="40">
        <f>1686.1/3101.7</f>
        <v>0.5436051198</v>
      </c>
      <c r="D21" s="40">
        <f>1768.3/3107</f>
        <v>0.5691342131</v>
      </c>
      <c r="E21" s="40">
        <f>2173.8/5417.9</f>
        <v>0.4012255671</v>
      </c>
      <c r="F21" s="40">
        <f>3319.5/5202.7</f>
        <v>0.6380340977</v>
      </c>
      <c r="G21" s="40">
        <f>2375.8/5241.4</f>
        <v>0.4532758423</v>
      </c>
      <c r="H21" s="40">
        <f>3088.2/6945.6</f>
        <v>0.4446268141</v>
      </c>
      <c r="I21" s="40">
        <f>3299.9/7318.3</f>
        <v>0.4509107306</v>
      </c>
      <c r="J21" s="40">
        <f>3742.5/8350.3</f>
        <v>0.4481874903</v>
      </c>
      <c r="K21" s="40">
        <f>3804.6/8895.6</f>
        <v>0.4276945906</v>
      </c>
      <c r="L21" s="40">
        <f>3897.5/7662.5</f>
        <v>0.5086460033</v>
      </c>
      <c r="M21" s="40">
        <f>3897.5/5962.6</f>
        <v>0.6536578003</v>
      </c>
      <c r="N21" s="40">
        <f>4061.6/7426.2</f>
        <v>0.5469284425</v>
      </c>
      <c r="O21" s="40">
        <f>3886.3/10259</f>
        <v>0.3788185983</v>
      </c>
      <c r="P21" s="40">
        <f>3827.1/9934.1</f>
        <v>0.3852487895</v>
      </c>
      <c r="Q21" s="40">
        <f>3015.8/10552.2</f>
        <v>0.2857982222</v>
      </c>
      <c r="R21" s="37"/>
      <c r="S21" s="37"/>
      <c r="T21" s="1"/>
      <c r="U21" s="1"/>
      <c r="V21" s="1"/>
      <c r="W21" s="1"/>
      <c r="X21" s="1"/>
      <c r="Y21" s="1"/>
      <c r="Z21" s="1"/>
    </row>
    <row r="22" ht="15.75" customHeight="1">
      <c r="A22" s="24" t="s">
        <v>26</v>
      </c>
      <c r="B22" s="24" t="s">
        <v>20</v>
      </c>
      <c r="C22" s="38">
        <f t="shared" ref="C22:S22" si="4">IF(OR(C7="",C8=""),"",C7/C8)</f>
        <v>3.044253227</v>
      </c>
      <c r="D22" s="38">
        <f t="shared" si="4"/>
        <v>2.134380046</v>
      </c>
      <c r="E22" s="38">
        <f t="shared" si="4"/>
        <v>1.855528286</v>
      </c>
      <c r="F22" s="38">
        <f t="shared" si="4"/>
        <v>0.7732930441</v>
      </c>
      <c r="G22" s="38">
        <f t="shared" si="4"/>
        <v>0.7066779157</v>
      </c>
      <c r="H22" s="38">
        <f t="shared" si="4"/>
        <v>0.7760453882</v>
      </c>
      <c r="I22" s="38">
        <f t="shared" si="4"/>
        <v>0.6854395656</v>
      </c>
      <c r="J22" s="38">
        <f t="shared" si="4"/>
        <v>0.6279216235</v>
      </c>
      <c r="K22" s="38">
        <f t="shared" si="4"/>
        <v>0.6819369878</v>
      </c>
      <c r="L22" s="38">
        <f t="shared" si="4"/>
        <v>0.7228532157</v>
      </c>
      <c r="M22" s="38">
        <f t="shared" si="4"/>
        <v>0.8790618936</v>
      </c>
      <c r="N22" s="38">
        <f t="shared" si="4"/>
        <v>0.8320709117</v>
      </c>
      <c r="O22" s="38">
        <f t="shared" si="4"/>
        <v>0.8508011666</v>
      </c>
      <c r="P22" s="38">
        <f t="shared" si="4"/>
        <v>0.8701679351</v>
      </c>
      <c r="Q22" s="38">
        <f t="shared" si="4"/>
        <v>0.9280400718</v>
      </c>
      <c r="R22" s="38" t="str">
        <f t="shared" si="4"/>
        <v/>
      </c>
      <c r="S22" s="38" t="str">
        <f t="shared" si="4"/>
        <v/>
      </c>
      <c r="T22" s="1"/>
      <c r="U22" s="1"/>
      <c r="V22" s="1"/>
      <c r="W22" s="1"/>
      <c r="X22" s="1"/>
      <c r="Y22" s="1"/>
      <c r="Z22" s="1"/>
    </row>
    <row r="23" ht="15.75" customHeight="1">
      <c r="A23" s="20" t="s">
        <v>27</v>
      </c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3"/>
      <c r="U23" s="23"/>
      <c r="V23" s="23"/>
      <c r="W23" s="23"/>
      <c r="X23" s="23"/>
      <c r="Y23" s="23"/>
      <c r="Z23" s="23"/>
    </row>
    <row r="24" ht="15.75" customHeight="1">
      <c r="A24" s="24" t="s">
        <v>28</v>
      </c>
      <c r="B24" s="24" t="s">
        <v>20</v>
      </c>
      <c r="C24" s="40">
        <v>0.2808</v>
      </c>
      <c r="D24" s="40">
        <v>0.289</v>
      </c>
      <c r="E24" s="40">
        <v>0.2726</v>
      </c>
      <c r="F24" s="40">
        <v>0.2478</v>
      </c>
      <c r="G24" s="40">
        <v>0.2458</v>
      </c>
      <c r="H24" s="40">
        <v>0.2577</v>
      </c>
      <c r="I24" s="40">
        <v>0.2576</v>
      </c>
      <c r="J24" s="40">
        <v>0.2661</v>
      </c>
      <c r="K24" s="40">
        <v>0.2695</v>
      </c>
      <c r="L24" s="40">
        <v>0.2218</v>
      </c>
      <c r="M24" s="40">
        <v>0.2288</v>
      </c>
      <c r="N24" s="40">
        <v>0.2338</v>
      </c>
      <c r="O24" s="40">
        <v>0.2313</v>
      </c>
      <c r="P24" s="40">
        <v>0.2256</v>
      </c>
      <c r="Q24" s="40">
        <v>0.2238</v>
      </c>
      <c r="R24" s="37"/>
      <c r="S24" s="37"/>
      <c r="T24" s="1"/>
      <c r="U24" s="1"/>
      <c r="V24" s="1"/>
      <c r="W24" s="1"/>
      <c r="X24" s="1"/>
      <c r="Y24" s="1"/>
      <c r="Z24" s="1"/>
    </row>
    <row r="25" ht="15.75" customHeight="1">
      <c r="A25" s="24" t="s">
        <v>29</v>
      </c>
      <c r="B25" s="24" t="s">
        <v>20</v>
      </c>
      <c r="C25" s="40">
        <f>89.77/172.25</f>
        <v>0.521161103</v>
      </c>
      <c r="D25" s="40">
        <f>73.81/159.92</f>
        <v>0.4615432716</v>
      </c>
      <c r="E25" s="40">
        <f>86.37/189.17</f>
        <v>0.4565734525</v>
      </c>
      <c r="F25" s="40">
        <f>115.29/327.09</f>
        <v>0.3524717968</v>
      </c>
      <c r="G25" s="40">
        <f>118.22/268.12</f>
        <v>0.4409219752</v>
      </c>
      <c r="H25" s="40">
        <f>96.47/217.49</f>
        <v>0.4435606235</v>
      </c>
      <c r="I25" s="40">
        <f>125.41/190.46</f>
        <v>0.658458469</v>
      </c>
      <c r="J25" s="40">
        <f>118.61/234.17</f>
        <v>0.5065123628</v>
      </c>
      <c r="K25" s="40">
        <f>131.57/248.84</f>
        <v>0.5287333226</v>
      </c>
      <c r="L25" s="40">
        <f>104.85/148.36</f>
        <v>0.7067268806</v>
      </c>
      <c r="M25" s="40">
        <f>118.99/130.05</f>
        <v>0.9149557862</v>
      </c>
      <c r="N25" s="40">
        <f>121.37/162.45</f>
        <v>0.7471221914</v>
      </c>
      <c r="O25" s="40">
        <f>126.72/176.75</f>
        <v>0.7169448373</v>
      </c>
      <c r="P25" s="40">
        <f>125.55/151.1</f>
        <v>0.8309066843</v>
      </c>
      <c r="Q25" s="40">
        <f>126.53/154.12</f>
        <v>0.8209836491</v>
      </c>
      <c r="R25" s="37"/>
      <c r="S25" s="37"/>
      <c r="T25" s="1"/>
      <c r="U25" s="1"/>
      <c r="V25" s="1"/>
      <c r="W25" s="1"/>
      <c r="X25" s="1"/>
      <c r="Y25" s="1"/>
      <c r="Z25" s="1"/>
    </row>
    <row r="26" ht="15.75" customHeight="1">
      <c r="A26" s="20" t="s">
        <v>30</v>
      </c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3"/>
      <c r="U26" s="23"/>
      <c r="V26" s="23"/>
      <c r="W26" s="23"/>
      <c r="X26" s="23"/>
      <c r="Y26" s="23"/>
      <c r="Z26" s="23"/>
    </row>
    <row r="27" ht="15.75" customHeight="1">
      <c r="A27" s="24" t="s">
        <v>31</v>
      </c>
      <c r="B27" s="24" t="s">
        <v>20</v>
      </c>
      <c r="C27" s="38">
        <f t="shared" ref="C27:S27" si="5">IF(OR(C20="",C6=""),"",C20/C6)</f>
        <v>0.1127120369</v>
      </c>
      <c r="D27" s="38">
        <f t="shared" si="5"/>
        <v>0.1077035604</v>
      </c>
      <c r="E27" s="38">
        <f t="shared" si="5"/>
        <v>0.1656318308</v>
      </c>
      <c r="F27" s="38">
        <f t="shared" si="5"/>
        <v>0.1110316746</v>
      </c>
      <c r="G27" s="38">
        <f t="shared" si="5"/>
        <v>0.1042859218</v>
      </c>
      <c r="H27" s="38">
        <f t="shared" si="5"/>
        <v>0.134980294</v>
      </c>
      <c r="I27" s="38">
        <f t="shared" si="5"/>
        <v>0.1341788073</v>
      </c>
      <c r="J27" s="38">
        <f t="shared" si="5"/>
        <v>0.1438268628</v>
      </c>
      <c r="K27" s="38">
        <f t="shared" si="5"/>
        <v>0.1502863611</v>
      </c>
      <c r="L27" s="38">
        <f t="shared" si="5"/>
        <v>0.1312161792</v>
      </c>
      <c r="M27" s="38">
        <f t="shared" si="5"/>
        <v>0.1078188854</v>
      </c>
      <c r="N27" s="38">
        <f t="shared" si="5"/>
        <v>0.1214292488</v>
      </c>
      <c r="O27" s="38">
        <f t="shared" si="5"/>
        <v>0.168266944</v>
      </c>
      <c r="P27" s="38">
        <f t="shared" si="5"/>
        <v>0.1564319267</v>
      </c>
      <c r="Q27" s="38">
        <f t="shared" si="5"/>
        <v>0.1761727235</v>
      </c>
      <c r="R27" s="38" t="str">
        <f t="shared" si="5"/>
        <v/>
      </c>
      <c r="S27" s="38" t="str">
        <f t="shared" si="5"/>
        <v/>
      </c>
      <c r="T27" s="1"/>
      <c r="U27" s="1"/>
      <c r="V27" s="1"/>
      <c r="W27" s="1"/>
      <c r="X27" s="1"/>
      <c r="Y27" s="1"/>
      <c r="Z27" s="1"/>
    </row>
    <row r="28" ht="15.75" customHeight="1">
      <c r="A28" s="24" t="s">
        <v>32</v>
      </c>
      <c r="B28" s="24" t="s">
        <v>20</v>
      </c>
      <c r="C28" s="38"/>
      <c r="D28" s="38">
        <f t="shared" ref="D28:S28" si="6">IF(OR(D13="",C13="",C13=0),"",(D13-C13)/ABS(C13))</f>
        <v>0.06439100078</v>
      </c>
      <c r="E28" s="38">
        <f t="shared" si="6"/>
        <v>0.2201166181</v>
      </c>
      <c r="F28" s="38">
        <f t="shared" si="6"/>
        <v>0.05495818399</v>
      </c>
      <c r="G28" s="38">
        <f t="shared" si="6"/>
        <v>0.2788221971</v>
      </c>
      <c r="H28" s="38">
        <f t="shared" si="6"/>
        <v>-0.5418880623</v>
      </c>
      <c r="I28" s="38">
        <f t="shared" si="6"/>
        <v>-0.2609704234</v>
      </c>
      <c r="J28" s="38">
        <f t="shared" si="6"/>
        <v>0.4731885953</v>
      </c>
      <c r="K28" s="38">
        <f t="shared" si="6"/>
        <v>0.3297230114</v>
      </c>
      <c r="L28" s="38">
        <f t="shared" si="6"/>
        <v>-0.9124048605</v>
      </c>
      <c r="M28" s="38">
        <f t="shared" si="6"/>
        <v>-0.3155487805</v>
      </c>
      <c r="N28" s="38">
        <f t="shared" si="6"/>
        <v>0.420935412</v>
      </c>
      <c r="O28" s="38">
        <f t="shared" si="6"/>
        <v>0.5877742947</v>
      </c>
      <c r="P28" s="38">
        <f t="shared" si="6"/>
        <v>0.006910167818</v>
      </c>
      <c r="Q28" s="38">
        <f t="shared" si="6"/>
        <v>-0.4529411765</v>
      </c>
      <c r="R28" s="38" t="str">
        <f t="shared" si="6"/>
        <v/>
      </c>
      <c r="S28" s="38" t="str">
        <f t="shared" si="6"/>
        <v/>
      </c>
      <c r="T28" s="1"/>
      <c r="U28" s="1"/>
      <c r="V28" s="1"/>
      <c r="W28" s="1"/>
      <c r="X28" s="1"/>
      <c r="Y28" s="1"/>
      <c r="Z28" s="1"/>
    </row>
    <row r="29" ht="15.75" customHeight="1">
      <c r="A29" s="24" t="s">
        <v>33</v>
      </c>
      <c r="B29" s="24" t="s">
        <v>20</v>
      </c>
      <c r="C29" s="38"/>
      <c r="D29" s="38">
        <f t="shared" ref="D29:S29" si="7">IF(OR(D6="",C6="",C6=0),"",(D6-C6)/C6)</f>
        <v>0.04829062314</v>
      </c>
      <c r="E29" s="38">
        <f t="shared" si="7"/>
        <v>0.1339032228</v>
      </c>
      <c r="F29" s="38">
        <f t="shared" si="7"/>
        <v>0.4325002675</v>
      </c>
      <c r="G29" s="38">
        <f t="shared" si="7"/>
        <v>0.07260477445</v>
      </c>
      <c r="H29" s="38">
        <f t="shared" si="7"/>
        <v>0.02380625509</v>
      </c>
      <c r="I29" s="38">
        <f t="shared" si="7"/>
        <v>0.05995366951</v>
      </c>
      <c r="J29" s="38">
        <f t="shared" si="7"/>
        <v>0.0644757927</v>
      </c>
      <c r="K29" s="38">
        <f t="shared" si="7"/>
        <v>0.01951496779</v>
      </c>
      <c r="L29" s="38">
        <f t="shared" si="7"/>
        <v>-0.01343109594</v>
      </c>
      <c r="M29" s="38">
        <f t="shared" si="7"/>
        <v>-0.05298308103</v>
      </c>
      <c r="N29" s="38">
        <f t="shared" si="7"/>
        <v>0.1058659723</v>
      </c>
      <c r="O29" s="38">
        <f t="shared" si="7"/>
        <v>-0.003074075406</v>
      </c>
      <c r="P29" s="38">
        <f t="shared" si="7"/>
        <v>0.04159026122</v>
      </c>
      <c r="Q29" s="38">
        <f t="shared" si="7"/>
        <v>-0.05680560214</v>
      </c>
      <c r="R29" s="38" t="str">
        <f t="shared" si="7"/>
        <v/>
      </c>
      <c r="S29" s="38" t="str">
        <f t="shared" si="7"/>
        <v/>
      </c>
      <c r="T29" s="1"/>
      <c r="U29" s="1"/>
      <c r="V29" s="1"/>
      <c r="W29" s="1"/>
      <c r="X29" s="1"/>
      <c r="Y29" s="1"/>
      <c r="Z29" s="1"/>
    </row>
    <row r="30" ht="15.75" customHeight="1">
      <c r="A30" s="44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0" customHeight="1">
      <c r="A31" s="45" t="s">
        <v>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46" t="s">
        <v>35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46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46" t="s">
        <v>37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46" t="s">
        <v>38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46" t="s">
        <v>39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46" t="s">
        <v>40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46" t="s">
        <v>41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46" t="s">
        <v>42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46" t="s">
        <v>43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46" t="s">
        <v>44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46" t="s">
        <v>45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46" t="s">
        <v>46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46" t="s">
        <v>47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</row>
  </sheetData>
  <mergeCells count="1"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63"/>
    <col customWidth="1" min="2" max="6" width="12.63"/>
  </cols>
  <sheetData>
    <row r="1" ht="47.2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</row>
    <row r="2" ht="17.25" customHeight="1">
      <c r="A2" s="48" t="s">
        <v>48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</row>
    <row r="3" ht="15.0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</row>
    <row r="4" ht="15.0" customHeight="1">
      <c r="A4" s="49" t="s">
        <v>4</v>
      </c>
      <c r="B4" s="49" t="s">
        <v>5</v>
      </c>
      <c r="C4" s="50">
        <v>1973.0</v>
      </c>
      <c r="D4" s="50">
        <f t="shared" ref="D4:BD4" si="1">C4+1</f>
        <v>1974</v>
      </c>
      <c r="E4" s="50">
        <f t="shared" si="1"/>
        <v>1975</v>
      </c>
      <c r="F4" s="50">
        <f t="shared" si="1"/>
        <v>1976</v>
      </c>
      <c r="G4" s="50">
        <f t="shared" si="1"/>
        <v>1977</v>
      </c>
      <c r="H4" s="50">
        <f t="shared" si="1"/>
        <v>1978</v>
      </c>
      <c r="I4" s="50">
        <f t="shared" si="1"/>
        <v>1979</v>
      </c>
      <c r="J4" s="50">
        <f t="shared" si="1"/>
        <v>1980</v>
      </c>
      <c r="K4" s="50">
        <f t="shared" si="1"/>
        <v>1981</v>
      </c>
      <c r="L4" s="50">
        <f t="shared" si="1"/>
        <v>1982</v>
      </c>
      <c r="M4" s="50">
        <f t="shared" si="1"/>
        <v>1983</v>
      </c>
      <c r="N4" s="50">
        <f t="shared" si="1"/>
        <v>1984</v>
      </c>
      <c r="O4" s="50">
        <f t="shared" si="1"/>
        <v>1985</v>
      </c>
      <c r="P4" s="50">
        <f t="shared" si="1"/>
        <v>1986</v>
      </c>
      <c r="Q4" s="50">
        <f t="shared" si="1"/>
        <v>1987</v>
      </c>
      <c r="R4" s="50">
        <f t="shared" si="1"/>
        <v>1988</v>
      </c>
      <c r="S4" s="50">
        <f t="shared" si="1"/>
        <v>1989</v>
      </c>
      <c r="T4" s="50">
        <f t="shared" si="1"/>
        <v>1990</v>
      </c>
      <c r="U4" s="50">
        <f t="shared" si="1"/>
        <v>1991</v>
      </c>
      <c r="V4" s="50">
        <f t="shared" si="1"/>
        <v>1992</v>
      </c>
      <c r="W4" s="50">
        <f t="shared" si="1"/>
        <v>1993</v>
      </c>
      <c r="X4" s="50">
        <f t="shared" si="1"/>
        <v>1994</v>
      </c>
      <c r="Y4" s="50">
        <f t="shared" si="1"/>
        <v>1995</v>
      </c>
      <c r="Z4" s="50">
        <f t="shared" si="1"/>
        <v>1996</v>
      </c>
      <c r="AA4" s="50">
        <f t="shared" si="1"/>
        <v>1997</v>
      </c>
      <c r="AB4" s="50">
        <f t="shared" si="1"/>
        <v>1998</v>
      </c>
      <c r="AC4" s="50">
        <f t="shared" si="1"/>
        <v>1999</v>
      </c>
      <c r="AD4" s="50">
        <f t="shared" si="1"/>
        <v>2000</v>
      </c>
      <c r="AE4" s="50">
        <f t="shared" si="1"/>
        <v>2001</v>
      </c>
      <c r="AF4" s="50">
        <f t="shared" si="1"/>
        <v>2002</v>
      </c>
      <c r="AG4" s="50">
        <f t="shared" si="1"/>
        <v>2003</v>
      </c>
      <c r="AH4" s="50">
        <f t="shared" si="1"/>
        <v>2004</v>
      </c>
      <c r="AI4" s="50">
        <f t="shared" si="1"/>
        <v>2005</v>
      </c>
      <c r="AJ4" s="50">
        <f t="shared" si="1"/>
        <v>2006</v>
      </c>
      <c r="AK4" s="50">
        <f t="shared" si="1"/>
        <v>2007</v>
      </c>
      <c r="AL4" s="50">
        <f t="shared" si="1"/>
        <v>2008</v>
      </c>
      <c r="AM4" s="50">
        <f t="shared" si="1"/>
        <v>2009</v>
      </c>
      <c r="AN4" s="50">
        <f t="shared" si="1"/>
        <v>2010</v>
      </c>
      <c r="AO4" s="50">
        <f t="shared" si="1"/>
        <v>2011</v>
      </c>
      <c r="AP4" s="50">
        <f t="shared" si="1"/>
        <v>2012</v>
      </c>
      <c r="AQ4" s="50">
        <f t="shared" si="1"/>
        <v>2013</v>
      </c>
      <c r="AR4" s="50">
        <f t="shared" si="1"/>
        <v>2014</v>
      </c>
      <c r="AS4" s="50">
        <f t="shared" si="1"/>
        <v>2015</v>
      </c>
      <c r="AT4" s="50">
        <f t="shared" si="1"/>
        <v>2016</v>
      </c>
      <c r="AU4" s="50">
        <f t="shared" si="1"/>
        <v>2017</v>
      </c>
      <c r="AV4" s="50">
        <f t="shared" si="1"/>
        <v>2018</v>
      </c>
      <c r="AW4" s="50">
        <f t="shared" si="1"/>
        <v>2019</v>
      </c>
      <c r="AX4" s="50">
        <f t="shared" si="1"/>
        <v>2020</v>
      </c>
      <c r="AY4" s="50">
        <f t="shared" si="1"/>
        <v>2021</v>
      </c>
      <c r="AZ4" s="50">
        <f t="shared" si="1"/>
        <v>2022</v>
      </c>
      <c r="BA4" s="50">
        <f t="shared" si="1"/>
        <v>2023</v>
      </c>
      <c r="BB4" s="50">
        <f t="shared" si="1"/>
        <v>2024</v>
      </c>
      <c r="BC4" s="50">
        <f t="shared" si="1"/>
        <v>2025</v>
      </c>
      <c r="BD4" s="50">
        <f t="shared" si="1"/>
        <v>2026</v>
      </c>
    </row>
    <row r="5" ht="15.0" customHeight="1">
      <c r="A5" s="52" t="s">
        <v>6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ht="15.0" customHeight="1">
      <c r="A6" s="24" t="s">
        <v>7</v>
      </c>
      <c r="B6" s="24" t="s">
        <v>8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25">
        <v>159847.055483</v>
      </c>
      <c r="AO6" s="25">
        <v>175276.253182</v>
      </c>
      <c r="AP6" s="25">
        <v>191302.593523</v>
      </c>
      <c r="AQ6" s="25">
        <v>194569.3177</v>
      </c>
      <c r="AR6" s="25">
        <v>212922.635487</v>
      </c>
      <c r="AS6" s="25">
        <v>229959.898416</v>
      </c>
      <c r="AT6" s="25">
        <v>234448.780749</v>
      </c>
      <c r="AU6" s="25">
        <v>241255.198824</v>
      </c>
      <c r="AV6" s="25">
        <v>253501.484167</v>
      </c>
      <c r="AW6" s="25">
        <v>268020.553164</v>
      </c>
      <c r="AX6" s="25">
        <v>288915.214867</v>
      </c>
      <c r="AY6" s="25">
        <v>335098.69283</v>
      </c>
      <c r="AZ6" s="25">
        <v>360989.236951</v>
      </c>
      <c r="BA6" s="25">
        <v>413529.447242</v>
      </c>
      <c r="BB6" s="25">
        <v>441566.18467</v>
      </c>
      <c r="BC6" s="25">
        <v>478026.890566</v>
      </c>
      <c r="BD6" s="54"/>
    </row>
    <row r="7" ht="15.0" customHeight="1">
      <c r="A7" s="24" t="s">
        <v>9</v>
      </c>
      <c r="B7" s="24" t="s">
        <v>8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25">
        <v>113354.483672</v>
      </c>
      <c r="AO7" s="25">
        <v>139490.661917</v>
      </c>
      <c r="AP7" s="25">
        <v>149296.07308</v>
      </c>
      <c r="AQ7" s="25">
        <v>154214.74619</v>
      </c>
      <c r="AR7" s="25">
        <v>173181.968165</v>
      </c>
      <c r="AS7" s="25">
        <v>179960.175586</v>
      </c>
      <c r="AT7" s="25">
        <v>186419.992845</v>
      </c>
      <c r="AU7" s="25">
        <v>193672.569346</v>
      </c>
      <c r="AV7" s="25">
        <v>200246.95311</v>
      </c>
      <c r="AW7" s="25">
        <v>219227.164449</v>
      </c>
      <c r="AX7" s="25">
        <v>237857.529454</v>
      </c>
      <c r="AY7" s="25">
        <v>270917.899403</v>
      </c>
      <c r="AZ7" s="25">
        <v>295554.512958</v>
      </c>
      <c r="BA7" s="25">
        <v>320483.252536</v>
      </c>
      <c r="BB7" s="25">
        <v>366001.22884</v>
      </c>
      <c r="BC7" s="25">
        <v>386314.179732</v>
      </c>
      <c r="BD7" s="54"/>
    </row>
    <row r="8" ht="15.0" customHeight="1">
      <c r="A8" s="24" t="s">
        <v>10</v>
      </c>
      <c r="B8" s="24" t="s">
        <v>8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25">
        <v>112149.881771</v>
      </c>
      <c r="AO8" s="25">
        <v>129604.832227</v>
      </c>
      <c r="AP8" s="25">
        <v>144682.576601</v>
      </c>
      <c r="AQ8" s="25">
        <v>154462.125183</v>
      </c>
      <c r="AR8" s="25">
        <v>178006.466553</v>
      </c>
      <c r="AS8" s="25">
        <v>198912.373336</v>
      </c>
      <c r="AT8" s="25">
        <v>211824.319311</v>
      </c>
      <c r="AU8" s="25">
        <v>227380.620852</v>
      </c>
      <c r="AV8" s="25">
        <v>241832.573252</v>
      </c>
      <c r="AW8" s="25">
        <v>257338.199942</v>
      </c>
      <c r="AX8" s="25">
        <v>276953.34791</v>
      </c>
      <c r="AY8" s="25">
        <v>331143.202129</v>
      </c>
      <c r="AZ8" s="25">
        <v>382313.224539</v>
      </c>
      <c r="BA8" s="25">
        <v>407196.979542</v>
      </c>
      <c r="BB8" s="25">
        <v>452928.26975</v>
      </c>
      <c r="BC8" s="25">
        <v>504258.833753</v>
      </c>
      <c r="BD8" s="54"/>
    </row>
    <row r="9" ht="15.0" customHeight="1">
      <c r="A9" s="24" t="s">
        <v>11</v>
      </c>
      <c r="B9" s="24" t="s">
        <v>8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25">
        <v>-13391.098378</v>
      </c>
      <c r="AO9" s="25">
        <v>-14933.883837</v>
      </c>
      <c r="AP9" s="25">
        <v>-11930.266233</v>
      </c>
      <c r="AQ9" s="25">
        <v>-15827.12665</v>
      </c>
      <c r="AR9" s="25">
        <v>-45737.783413</v>
      </c>
      <c r="AS9" s="25">
        <v>-45390.31974</v>
      </c>
      <c r="AT9" s="25">
        <v>-52177.757051</v>
      </c>
      <c r="AU9" s="25">
        <v>-57771.023836</v>
      </c>
      <c r="AV9" s="25">
        <v>-60024.824395</v>
      </c>
      <c r="AW9" s="25">
        <v>-65483.607812</v>
      </c>
      <c r="AX9" s="25">
        <v>-77635.417556</v>
      </c>
      <c r="AY9" s="25">
        <v>-90435.560961</v>
      </c>
      <c r="AZ9" s="25">
        <v>-104399.316218</v>
      </c>
      <c r="BA9" s="25">
        <v>-127912.911269</v>
      </c>
      <c r="BB9" s="25">
        <v>-192502.132631</v>
      </c>
      <c r="BC9" s="25">
        <v>-274919.844523</v>
      </c>
      <c r="BD9" s="54"/>
    </row>
    <row r="10" ht="15.0" customHeight="1">
      <c r="A10" s="52" t="s">
        <v>12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ht="15.0" customHeight="1">
      <c r="A11" s="24" t="s">
        <v>13</v>
      </c>
      <c r="B11" s="24" t="s">
        <v>8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25">
        <v>3012.809322</v>
      </c>
      <c r="AO11" s="25">
        <v>1569.606685</v>
      </c>
      <c r="AP11" s="25">
        <v>1278.665837</v>
      </c>
      <c r="AQ11" s="25">
        <v>-369.887398</v>
      </c>
      <c r="AR11" s="25">
        <v>-173.08719</v>
      </c>
      <c r="AS11" s="25">
        <v>392.36278</v>
      </c>
      <c r="AT11" s="25">
        <v>211.317089</v>
      </c>
      <c r="AU11" s="25">
        <v>2092.475769</v>
      </c>
      <c r="AV11" s="25">
        <v>579.91135</v>
      </c>
      <c r="AW11" s="25">
        <v>-967.374655</v>
      </c>
      <c r="AX11" s="25">
        <v>-3997.887225</v>
      </c>
      <c r="AY11" s="25">
        <v>-3847.129526</v>
      </c>
      <c r="AZ11" s="25">
        <v>-4439.308412</v>
      </c>
      <c r="BA11" s="25">
        <v>-4711.086012</v>
      </c>
      <c r="BB11" s="25">
        <v>-4255.774026</v>
      </c>
      <c r="BC11" s="25">
        <v>-9592.527119</v>
      </c>
      <c r="BD11" s="54"/>
    </row>
    <row r="12" ht="15.0" customHeight="1">
      <c r="A12" s="24" t="s">
        <v>14</v>
      </c>
      <c r="B12" s="24" t="s">
        <v>8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25">
        <v>1345.113089</v>
      </c>
      <c r="AO12" s="25">
        <v>2106.150377</v>
      </c>
      <c r="AP12" s="25">
        <v>2249.2226</v>
      </c>
      <c r="AQ12" s="25">
        <v>1667.197276</v>
      </c>
      <c r="AR12" s="25">
        <v>1408.775558</v>
      </c>
      <c r="AS12" s="25">
        <v>1510.576037</v>
      </c>
      <c r="AT12" s="25">
        <v>1450.834888</v>
      </c>
      <c r="AU12" s="25">
        <v>1056.665212</v>
      </c>
      <c r="AV12" s="25">
        <v>916.300204</v>
      </c>
      <c r="AW12" s="25">
        <v>1008.24856</v>
      </c>
      <c r="AX12" s="25">
        <v>924.218978</v>
      </c>
      <c r="AY12" s="25">
        <v>876.050726</v>
      </c>
      <c r="AZ12" s="25">
        <v>940.361312</v>
      </c>
      <c r="BA12" s="25">
        <v>1278.552539</v>
      </c>
      <c r="BB12" s="25">
        <v>3070.420183</v>
      </c>
      <c r="BC12" s="25">
        <v>4574.733769</v>
      </c>
      <c r="BD12" s="54"/>
    </row>
    <row r="13" ht="15.0" customHeight="1">
      <c r="A13" s="24" t="s">
        <v>15</v>
      </c>
      <c r="B13" s="24" t="s">
        <v>8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25">
        <v>0.0</v>
      </c>
      <c r="AO13" s="25">
        <v>-1542.785459</v>
      </c>
      <c r="AP13" s="25">
        <v>-1404.042246</v>
      </c>
      <c r="AQ13" s="25">
        <v>-3896.843917</v>
      </c>
      <c r="AR13" s="25">
        <v>-29910.506762</v>
      </c>
      <c r="AS13" s="25">
        <v>-2152.536327</v>
      </c>
      <c r="AT13" s="25">
        <v>-6787.437312</v>
      </c>
      <c r="AU13" s="25">
        <v>-5658.682967</v>
      </c>
      <c r="AV13" s="25">
        <v>-6258.476618</v>
      </c>
      <c r="AW13" s="25">
        <v>-6793.244929</v>
      </c>
      <c r="AX13" s="25">
        <v>-12411.809746</v>
      </c>
      <c r="AY13" s="25">
        <v>-12825.190466</v>
      </c>
      <c r="AZ13" s="25">
        <v>-13363.788108</v>
      </c>
      <c r="BA13" s="25">
        <v>-23848.525208</v>
      </c>
      <c r="BB13" s="25">
        <v>-65133.858558</v>
      </c>
      <c r="BC13" s="25">
        <v>-82569.378558</v>
      </c>
      <c r="BD13" s="54"/>
    </row>
    <row r="14" ht="15.0" customHeight="1">
      <c r="A14" s="52" t="s">
        <v>16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ht="15.0" customHeight="1">
      <c r="A15" s="24" t="s">
        <v>17</v>
      </c>
      <c r="B15" s="24" t="s">
        <v>18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</row>
    <row r="16" ht="15.0" customHeight="1">
      <c r="A16" s="24" t="s">
        <v>19</v>
      </c>
      <c r="B16" s="24" t="s">
        <v>20</v>
      </c>
      <c r="C16" s="59" t="str">
        <f t="shared" ref="C16:BD16" si="2">IFERROR(C13/C6,"")</f>
        <v/>
      </c>
      <c r="D16" s="59" t="str">
        <f t="shared" si="2"/>
        <v/>
      </c>
      <c r="E16" s="59" t="str">
        <f t="shared" si="2"/>
        <v/>
      </c>
      <c r="F16" s="59" t="str">
        <f t="shared" si="2"/>
        <v/>
      </c>
      <c r="G16" s="59" t="str">
        <f t="shared" si="2"/>
        <v/>
      </c>
      <c r="H16" s="59" t="str">
        <f t="shared" si="2"/>
        <v/>
      </c>
      <c r="I16" s="59" t="str">
        <f t="shared" si="2"/>
        <v/>
      </c>
      <c r="J16" s="59" t="str">
        <f t="shared" si="2"/>
        <v/>
      </c>
      <c r="K16" s="59" t="str">
        <f t="shared" si="2"/>
        <v/>
      </c>
      <c r="L16" s="59" t="str">
        <f t="shared" si="2"/>
        <v/>
      </c>
      <c r="M16" s="59" t="str">
        <f t="shared" si="2"/>
        <v/>
      </c>
      <c r="N16" s="59" t="str">
        <f t="shared" si="2"/>
        <v/>
      </c>
      <c r="O16" s="59" t="str">
        <f t="shared" si="2"/>
        <v/>
      </c>
      <c r="P16" s="59" t="str">
        <f t="shared" si="2"/>
        <v/>
      </c>
      <c r="Q16" s="59" t="str">
        <f t="shared" si="2"/>
        <v/>
      </c>
      <c r="R16" s="59" t="str">
        <f t="shared" si="2"/>
        <v/>
      </c>
      <c r="S16" s="59" t="str">
        <f t="shared" si="2"/>
        <v/>
      </c>
      <c r="T16" s="59" t="str">
        <f t="shared" si="2"/>
        <v/>
      </c>
      <c r="U16" s="59" t="str">
        <f t="shared" si="2"/>
        <v/>
      </c>
      <c r="V16" s="59" t="str">
        <f t="shared" si="2"/>
        <v/>
      </c>
      <c r="W16" s="59" t="str">
        <f t="shared" si="2"/>
        <v/>
      </c>
      <c r="X16" s="59" t="str">
        <f t="shared" si="2"/>
        <v/>
      </c>
      <c r="Y16" s="59" t="str">
        <f t="shared" si="2"/>
        <v/>
      </c>
      <c r="Z16" s="59" t="str">
        <f t="shared" si="2"/>
        <v/>
      </c>
      <c r="AA16" s="59" t="str">
        <f t="shared" si="2"/>
        <v/>
      </c>
      <c r="AB16" s="59" t="str">
        <f t="shared" si="2"/>
        <v/>
      </c>
      <c r="AC16" s="59" t="str">
        <f t="shared" si="2"/>
        <v/>
      </c>
      <c r="AD16" s="59" t="str">
        <f t="shared" si="2"/>
        <v/>
      </c>
      <c r="AE16" s="59" t="str">
        <f t="shared" si="2"/>
        <v/>
      </c>
      <c r="AF16" s="59" t="str">
        <f t="shared" si="2"/>
        <v/>
      </c>
      <c r="AG16" s="59" t="str">
        <f t="shared" si="2"/>
        <v/>
      </c>
      <c r="AH16" s="59" t="str">
        <f t="shared" si="2"/>
        <v/>
      </c>
      <c r="AI16" s="59" t="str">
        <f t="shared" si="2"/>
        <v/>
      </c>
      <c r="AJ16" s="59" t="str">
        <f t="shared" si="2"/>
        <v/>
      </c>
      <c r="AK16" s="59" t="str">
        <f t="shared" si="2"/>
        <v/>
      </c>
      <c r="AL16" s="59" t="str">
        <f t="shared" si="2"/>
        <v/>
      </c>
      <c r="AM16" s="59" t="str">
        <f t="shared" si="2"/>
        <v/>
      </c>
      <c r="AN16" s="43">
        <f t="shared" si="2"/>
        <v>0</v>
      </c>
      <c r="AO16" s="43">
        <f t="shared" si="2"/>
        <v>-0.008802022128</v>
      </c>
      <c r="AP16" s="43">
        <f t="shared" si="2"/>
        <v>-0.007339379044</v>
      </c>
      <c r="AQ16" s="43">
        <f t="shared" si="2"/>
        <v>-0.02002804945</v>
      </c>
      <c r="AR16" s="43">
        <f t="shared" si="2"/>
        <v>-0.1404759372</v>
      </c>
      <c r="AS16" s="43">
        <f t="shared" si="2"/>
        <v>-0.00936048564</v>
      </c>
      <c r="AT16" s="43">
        <f t="shared" si="2"/>
        <v>-0.02895061894</v>
      </c>
      <c r="AU16" s="43">
        <f t="shared" si="2"/>
        <v>-0.02345517524</v>
      </c>
      <c r="AV16" s="43">
        <f t="shared" si="2"/>
        <v>-0.02468812614</v>
      </c>
      <c r="AW16" s="43">
        <f t="shared" si="2"/>
        <v>-0.02534598503</v>
      </c>
      <c r="AX16" s="43">
        <f t="shared" si="2"/>
        <v>-0.04296004193</v>
      </c>
      <c r="AY16" s="43">
        <f t="shared" si="2"/>
        <v>-0.03827287525</v>
      </c>
      <c r="AZ16" s="43">
        <f t="shared" si="2"/>
        <v>-0.03701990735</v>
      </c>
      <c r="BA16" s="43">
        <f t="shared" si="2"/>
        <v>-0.0576706819</v>
      </c>
      <c r="BB16" s="43">
        <f t="shared" si="2"/>
        <v>-0.147506446</v>
      </c>
      <c r="BC16" s="43">
        <f t="shared" si="2"/>
        <v>-0.1727295685</v>
      </c>
      <c r="BD16" s="59" t="str">
        <f t="shared" si="2"/>
        <v/>
      </c>
    </row>
    <row r="17" ht="15.0" customHeight="1">
      <c r="A17" s="24" t="s">
        <v>21</v>
      </c>
      <c r="B17" s="24" t="s">
        <v>20</v>
      </c>
      <c r="C17" s="59" t="str">
        <f t="shared" ref="C17:BD17" si="3">IFERROR(C13/C9,"")</f>
        <v/>
      </c>
      <c r="D17" s="59" t="str">
        <f t="shared" si="3"/>
        <v/>
      </c>
      <c r="E17" s="59" t="str">
        <f t="shared" si="3"/>
        <v/>
      </c>
      <c r="F17" s="59" t="str">
        <f t="shared" si="3"/>
        <v/>
      </c>
      <c r="G17" s="59" t="str">
        <f t="shared" si="3"/>
        <v/>
      </c>
      <c r="H17" s="59" t="str">
        <f t="shared" si="3"/>
        <v/>
      </c>
      <c r="I17" s="59" t="str">
        <f t="shared" si="3"/>
        <v/>
      </c>
      <c r="J17" s="59" t="str">
        <f t="shared" si="3"/>
        <v/>
      </c>
      <c r="K17" s="59" t="str">
        <f t="shared" si="3"/>
        <v/>
      </c>
      <c r="L17" s="59" t="str">
        <f t="shared" si="3"/>
        <v/>
      </c>
      <c r="M17" s="59" t="str">
        <f t="shared" si="3"/>
        <v/>
      </c>
      <c r="N17" s="59" t="str">
        <f t="shared" si="3"/>
        <v/>
      </c>
      <c r="O17" s="59" t="str">
        <f t="shared" si="3"/>
        <v/>
      </c>
      <c r="P17" s="59" t="str">
        <f t="shared" si="3"/>
        <v/>
      </c>
      <c r="Q17" s="59" t="str">
        <f t="shared" si="3"/>
        <v/>
      </c>
      <c r="R17" s="59" t="str">
        <f t="shared" si="3"/>
        <v/>
      </c>
      <c r="S17" s="59" t="str">
        <f t="shared" si="3"/>
        <v/>
      </c>
      <c r="T17" s="59" t="str">
        <f t="shared" si="3"/>
        <v/>
      </c>
      <c r="U17" s="59" t="str">
        <f t="shared" si="3"/>
        <v/>
      </c>
      <c r="V17" s="59" t="str">
        <f t="shared" si="3"/>
        <v/>
      </c>
      <c r="W17" s="59" t="str">
        <f t="shared" si="3"/>
        <v/>
      </c>
      <c r="X17" s="59" t="str">
        <f t="shared" si="3"/>
        <v/>
      </c>
      <c r="Y17" s="59" t="str">
        <f t="shared" si="3"/>
        <v/>
      </c>
      <c r="Z17" s="59" t="str">
        <f t="shared" si="3"/>
        <v/>
      </c>
      <c r="AA17" s="59" t="str">
        <f t="shared" si="3"/>
        <v/>
      </c>
      <c r="AB17" s="59" t="str">
        <f t="shared" si="3"/>
        <v/>
      </c>
      <c r="AC17" s="59" t="str">
        <f t="shared" si="3"/>
        <v/>
      </c>
      <c r="AD17" s="59" t="str">
        <f t="shared" si="3"/>
        <v/>
      </c>
      <c r="AE17" s="59" t="str">
        <f t="shared" si="3"/>
        <v/>
      </c>
      <c r="AF17" s="59" t="str">
        <f t="shared" si="3"/>
        <v/>
      </c>
      <c r="AG17" s="59" t="str">
        <f t="shared" si="3"/>
        <v/>
      </c>
      <c r="AH17" s="59" t="str">
        <f t="shared" si="3"/>
        <v/>
      </c>
      <c r="AI17" s="59" t="str">
        <f t="shared" si="3"/>
        <v/>
      </c>
      <c r="AJ17" s="59" t="str">
        <f t="shared" si="3"/>
        <v/>
      </c>
      <c r="AK17" s="59" t="str">
        <f t="shared" si="3"/>
        <v/>
      </c>
      <c r="AL17" s="59" t="str">
        <f t="shared" si="3"/>
        <v/>
      </c>
      <c r="AM17" s="59" t="str">
        <f t="shared" si="3"/>
        <v/>
      </c>
      <c r="AN17" s="43">
        <f t="shared" si="3"/>
        <v>0</v>
      </c>
      <c r="AO17" s="43">
        <f t="shared" si="3"/>
        <v>0.1033077179</v>
      </c>
      <c r="AP17" s="43">
        <f t="shared" si="3"/>
        <v>0.1176874194</v>
      </c>
      <c r="AQ17" s="43">
        <f t="shared" si="3"/>
        <v>0.2462129737</v>
      </c>
      <c r="AR17" s="43">
        <f t="shared" si="3"/>
        <v>0.653956194</v>
      </c>
      <c r="AS17" s="43">
        <f t="shared" si="3"/>
        <v>0.04742280599</v>
      </c>
      <c r="AT17" s="43">
        <f t="shared" si="3"/>
        <v>0.1300829644</v>
      </c>
      <c r="AU17" s="43">
        <f t="shared" si="3"/>
        <v>0.09795019356</v>
      </c>
      <c r="AV17" s="43">
        <f t="shared" si="3"/>
        <v>0.1042648051</v>
      </c>
      <c r="AW17" s="43">
        <f t="shared" si="3"/>
        <v>0.1037396252</v>
      </c>
      <c r="AX17" s="43">
        <f t="shared" si="3"/>
        <v>0.1598730339</v>
      </c>
      <c r="AY17" s="43">
        <f t="shared" si="3"/>
        <v>0.1418157894</v>
      </c>
      <c r="AZ17" s="43">
        <f t="shared" si="3"/>
        <v>0.1280064716</v>
      </c>
      <c r="BA17" s="43">
        <f t="shared" si="3"/>
        <v>0.1864434557</v>
      </c>
      <c r="BB17" s="43">
        <f t="shared" si="3"/>
        <v>0.3383539583</v>
      </c>
      <c r="BC17" s="43">
        <f t="shared" si="3"/>
        <v>0.3003398271</v>
      </c>
      <c r="BD17" s="59" t="str">
        <f t="shared" si="3"/>
        <v/>
      </c>
    </row>
    <row r="18" ht="15.0" customHeight="1">
      <c r="A18" s="52" t="s">
        <v>22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ht="15.0" customHeight="1">
      <c r="A19" s="24" t="s">
        <v>23</v>
      </c>
      <c r="B19" s="24" t="s">
        <v>20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40">
        <v>0.2477</v>
      </c>
      <c r="AO19" s="40">
        <v>0.2171</v>
      </c>
      <c r="AP19" s="40">
        <v>0.2698</v>
      </c>
      <c r="AQ19" s="40">
        <v>0.3078</v>
      </c>
      <c r="AR19" s="40">
        <v>0.26345951077614</v>
      </c>
      <c r="AS19" s="40">
        <v>0.239500972893877</v>
      </c>
      <c r="AT19" s="40">
        <v>0.2597</v>
      </c>
      <c r="AU19" s="40">
        <v>0.2228</v>
      </c>
      <c r="AV19" s="40">
        <v>0.1965</v>
      </c>
      <c r="AW19" s="40">
        <v>0.17</v>
      </c>
      <c r="AX19" s="40">
        <v>0.12</v>
      </c>
      <c r="AY19" s="40">
        <v>0.09</v>
      </c>
      <c r="AZ19" s="40">
        <v>0.0941</v>
      </c>
      <c r="BA19" s="40">
        <v>0.2151</v>
      </c>
      <c r="BB19" s="40">
        <v>0.3865</v>
      </c>
      <c r="BC19" s="40">
        <v>0.4666</v>
      </c>
      <c r="BD19" s="59"/>
    </row>
    <row r="20" ht="15.0" customHeight="1">
      <c r="A20" s="24" t="s">
        <v>24</v>
      </c>
      <c r="B20" s="24" t="s">
        <v>8</v>
      </c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25">
        <v>28082.606</v>
      </c>
      <c r="AO20" s="25">
        <v>30283.608</v>
      </c>
      <c r="AP20" s="25">
        <v>40273.4</v>
      </c>
      <c r="AQ20" s="25">
        <v>47474.5</v>
      </c>
      <c r="AR20" s="25">
        <v>45626.436608</v>
      </c>
      <c r="AS20" s="25">
        <v>43100.637135</v>
      </c>
      <c r="AT20" s="25">
        <v>48413.0</v>
      </c>
      <c r="AU20" s="25">
        <v>43158.7</v>
      </c>
      <c r="AV20" s="25">
        <v>39351.4</v>
      </c>
      <c r="AW20" s="25">
        <v>35660.9</v>
      </c>
      <c r="AX20" s="25">
        <v>27327.1</v>
      </c>
      <c r="AY20" s="25">
        <v>24051.2</v>
      </c>
      <c r="AZ20" s="25">
        <v>26254.4</v>
      </c>
      <c r="BA20" s="25">
        <v>65008.8</v>
      </c>
      <c r="BB20" s="25">
        <v>141474.696937</v>
      </c>
      <c r="BC20" s="25">
        <v>180237.697605</v>
      </c>
      <c r="BD20" s="54"/>
    </row>
    <row r="21" ht="15.0" customHeight="1">
      <c r="A21" s="24" t="s">
        <v>25</v>
      </c>
      <c r="B21" s="24" t="s">
        <v>20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40">
        <v>0.241484727948681</v>
      </c>
      <c r="AO21" s="40">
        <v>0.223687256650529</v>
      </c>
      <c r="AP21" s="40">
        <v>0.167961979867605</v>
      </c>
      <c r="AQ21" s="40">
        <v>0.142329039800314</v>
      </c>
      <c r="AR21" s="40">
        <v>0.605595590652706</v>
      </c>
      <c r="AS21" s="40">
        <v>0.586875588445985</v>
      </c>
      <c r="AT21" s="40">
        <v>0.522539400574226</v>
      </c>
      <c r="AU21" s="40">
        <v>0.566638939541738</v>
      </c>
      <c r="AV21" s="40">
        <v>0.56904709870551</v>
      </c>
      <c r="AW21" s="40">
        <v>0.551491970197051</v>
      </c>
      <c r="AX21" s="40">
        <v>0.689194974951605</v>
      </c>
      <c r="AY21" s="40">
        <v>0.793124667376264</v>
      </c>
      <c r="AZ21" s="40">
        <v>0.724750898896947</v>
      </c>
      <c r="BA21" s="40">
        <v>0.387349097352974</v>
      </c>
      <c r="BB21" s="40">
        <v>0.51800885567286</v>
      </c>
      <c r="BC21" s="40">
        <v>0.729441894481639</v>
      </c>
      <c r="BD21" s="59"/>
    </row>
    <row r="22" ht="15.0" customHeight="1">
      <c r="A22" s="24" t="s">
        <v>26</v>
      </c>
      <c r="B22" s="24" t="s">
        <v>20</v>
      </c>
      <c r="C22" s="59" t="str">
        <f t="shared" ref="C22:BD22" si="4">IFERROR(C7/C8,"")</f>
        <v/>
      </c>
      <c r="D22" s="59" t="str">
        <f t="shared" si="4"/>
        <v/>
      </c>
      <c r="E22" s="59" t="str">
        <f t="shared" si="4"/>
        <v/>
      </c>
      <c r="F22" s="59" t="str">
        <f t="shared" si="4"/>
        <v/>
      </c>
      <c r="G22" s="59" t="str">
        <f t="shared" si="4"/>
        <v/>
      </c>
      <c r="H22" s="59" t="str">
        <f t="shared" si="4"/>
        <v/>
      </c>
      <c r="I22" s="59" t="str">
        <f t="shared" si="4"/>
        <v/>
      </c>
      <c r="J22" s="59" t="str">
        <f t="shared" si="4"/>
        <v/>
      </c>
      <c r="K22" s="59" t="str">
        <f t="shared" si="4"/>
        <v/>
      </c>
      <c r="L22" s="59" t="str">
        <f t="shared" si="4"/>
        <v/>
      </c>
      <c r="M22" s="59" t="str">
        <f t="shared" si="4"/>
        <v/>
      </c>
      <c r="N22" s="59" t="str">
        <f t="shared" si="4"/>
        <v/>
      </c>
      <c r="O22" s="59" t="str">
        <f t="shared" si="4"/>
        <v/>
      </c>
      <c r="P22" s="59" t="str">
        <f t="shared" si="4"/>
        <v/>
      </c>
      <c r="Q22" s="59" t="str">
        <f t="shared" si="4"/>
        <v/>
      </c>
      <c r="R22" s="59" t="str">
        <f t="shared" si="4"/>
        <v/>
      </c>
      <c r="S22" s="59" t="str">
        <f t="shared" si="4"/>
        <v/>
      </c>
      <c r="T22" s="59" t="str">
        <f t="shared" si="4"/>
        <v/>
      </c>
      <c r="U22" s="59" t="str">
        <f t="shared" si="4"/>
        <v/>
      </c>
      <c r="V22" s="59" t="str">
        <f t="shared" si="4"/>
        <v/>
      </c>
      <c r="W22" s="59" t="str">
        <f t="shared" si="4"/>
        <v/>
      </c>
      <c r="X22" s="59" t="str">
        <f t="shared" si="4"/>
        <v/>
      </c>
      <c r="Y22" s="59" t="str">
        <f t="shared" si="4"/>
        <v/>
      </c>
      <c r="Z22" s="59" t="str">
        <f t="shared" si="4"/>
        <v/>
      </c>
      <c r="AA22" s="59" t="str">
        <f t="shared" si="4"/>
        <v/>
      </c>
      <c r="AB22" s="59" t="str">
        <f t="shared" si="4"/>
        <v/>
      </c>
      <c r="AC22" s="59" t="str">
        <f t="shared" si="4"/>
        <v/>
      </c>
      <c r="AD22" s="59" t="str">
        <f t="shared" si="4"/>
        <v/>
      </c>
      <c r="AE22" s="59" t="str">
        <f t="shared" si="4"/>
        <v/>
      </c>
      <c r="AF22" s="59" t="str">
        <f t="shared" si="4"/>
        <v/>
      </c>
      <c r="AG22" s="59" t="str">
        <f t="shared" si="4"/>
        <v/>
      </c>
      <c r="AH22" s="59" t="str">
        <f t="shared" si="4"/>
        <v/>
      </c>
      <c r="AI22" s="59" t="str">
        <f t="shared" si="4"/>
        <v/>
      </c>
      <c r="AJ22" s="59" t="str">
        <f t="shared" si="4"/>
        <v/>
      </c>
      <c r="AK22" s="59" t="str">
        <f t="shared" si="4"/>
        <v/>
      </c>
      <c r="AL22" s="59" t="str">
        <f t="shared" si="4"/>
        <v/>
      </c>
      <c r="AM22" s="59" t="str">
        <f t="shared" si="4"/>
        <v/>
      </c>
      <c r="AN22" s="43">
        <f t="shared" si="4"/>
        <v>1.010741</v>
      </c>
      <c r="AO22" s="43">
        <f t="shared" si="4"/>
        <v>1.076276706</v>
      </c>
      <c r="AP22" s="43">
        <f t="shared" si="4"/>
        <v>1.031887022</v>
      </c>
      <c r="AQ22" s="43">
        <f t="shared" si="4"/>
        <v>0.9983984489</v>
      </c>
      <c r="AR22" s="43">
        <f t="shared" si="4"/>
        <v>0.9728970611</v>
      </c>
      <c r="AS22" s="43">
        <f t="shared" si="4"/>
        <v>0.9047208706</v>
      </c>
      <c r="AT22" s="43">
        <f t="shared" si="4"/>
        <v>0.8800688866</v>
      </c>
      <c r="AU22" s="43">
        <f t="shared" si="4"/>
        <v>0.85175495</v>
      </c>
      <c r="AV22" s="43">
        <f t="shared" si="4"/>
        <v>0.8280396243</v>
      </c>
      <c r="AW22" s="43">
        <f t="shared" si="4"/>
        <v>0.8519029219</v>
      </c>
      <c r="AX22" s="43">
        <f t="shared" si="4"/>
        <v>0.8588360865</v>
      </c>
      <c r="AY22" s="43">
        <f t="shared" si="4"/>
        <v>0.8181291286</v>
      </c>
      <c r="AZ22" s="43">
        <f t="shared" si="4"/>
        <v>0.7730690282</v>
      </c>
      <c r="BA22" s="43">
        <f t="shared" si="4"/>
        <v>0.7870472244</v>
      </c>
      <c r="BB22" s="43">
        <f t="shared" si="4"/>
        <v>0.8080776875</v>
      </c>
      <c r="BC22" s="43">
        <f t="shared" si="4"/>
        <v>0.7661029493</v>
      </c>
      <c r="BD22" s="59" t="str">
        <f t="shared" si="4"/>
        <v/>
      </c>
    </row>
    <row r="23" ht="15.0" customHeight="1">
      <c r="A23" s="52" t="s">
        <v>27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ht="15.0" customHeight="1">
      <c r="A24" s="24" t="s">
        <v>28</v>
      </c>
      <c r="B24" s="24" t="s">
        <v>20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40">
        <v>-0.4064</v>
      </c>
      <c r="AS24" s="40">
        <v>-0.3763</v>
      </c>
      <c r="AT24" s="40">
        <v>-0.4687</v>
      </c>
      <c r="AU24" s="40">
        <v>-0.4801</v>
      </c>
      <c r="AV24" s="40">
        <v>-0.3986</v>
      </c>
      <c r="AW24" s="40">
        <v>-0.3685</v>
      </c>
      <c r="AX24" s="40">
        <v>-0.4168</v>
      </c>
      <c r="AY24" s="40">
        <v>-0.401</v>
      </c>
      <c r="AZ24" s="40">
        <v>-0.4425</v>
      </c>
      <c r="BA24" s="40">
        <v>-0.5241</v>
      </c>
      <c r="BB24" s="40">
        <v>-0.7359</v>
      </c>
      <c r="BC24" s="40">
        <v>-1.3308</v>
      </c>
      <c r="BD24" s="59"/>
    </row>
    <row r="25" ht="15.0" customHeight="1">
      <c r="A25" s="24" t="s">
        <v>29</v>
      </c>
      <c r="B25" s="24" t="s">
        <v>20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63">
        <f>4931.930683/3527.888437</f>
        <v>1.397983743</v>
      </c>
      <c r="AQ25" s="63">
        <f>5181.578195/1297.309878</f>
        <v>3.994094459</v>
      </c>
      <c r="AR25" s="63">
        <f>6203.038761/1235.688368</f>
        <v>5.01990544</v>
      </c>
      <c r="AS25" s="63">
        <f>6381.24449/1902.938817</f>
        <v>3.353362932</v>
      </c>
      <c r="AT25" s="63">
        <f>8449.589289/1662.151977</f>
        <v>5.083523893</v>
      </c>
      <c r="AU25" s="63">
        <f>9613.11495/3149.140981</f>
        <v>3.052614985</v>
      </c>
      <c r="AV25" s="63">
        <f>9731.744299/1496.211554</f>
        <v>6.504256883</v>
      </c>
      <c r="AW25" s="63">
        <f>9397.333459/40.873905</f>
        <v>229.9103415</v>
      </c>
      <c r="AX25" s="63">
        <f>10041.63165/-3073.668247</f>
        <v>-3.266986169</v>
      </c>
      <c r="AY25" s="63">
        <f>9518.623492/-2971.0788</f>
        <v>-3.203760025</v>
      </c>
      <c r="AZ25" s="63">
        <f>9673.511167/-3498.9471</f>
        <v>-2.764692032</v>
      </c>
      <c r="BA25" s="63">
        <f>14040.726947/-3432.533473</f>
        <v>-4.090485077</v>
      </c>
      <c r="BB25" s="63">
        <f>14684.178114/-1185.353843</f>
        <v>-12.38801241</v>
      </c>
      <c r="BC25" s="63">
        <f>14317.417322/-5017.79335</f>
        <v>-2.853329407</v>
      </c>
      <c r="BD25" s="47"/>
    </row>
    <row r="26" ht="15.0" customHeight="1">
      <c r="A26" s="52" t="s">
        <v>30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ht="15.0" customHeight="1">
      <c r="A27" s="24" t="s">
        <v>31</v>
      </c>
      <c r="B27" s="24" t="s">
        <v>20</v>
      </c>
      <c r="C27" s="59" t="str">
        <f t="shared" ref="C27:BD27" si="5">IFERROR(C20/C6,"")</f>
        <v/>
      </c>
      <c r="D27" s="59" t="str">
        <f t="shared" si="5"/>
        <v/>
      </c>
      <c r="E27" s="59" t="str">
        <f t="shared" si="5"/>
        <v/>
      </c>
      <c r="F27" s="59" t="str">
        <f t="shared" si="5"/>
        <v/>
      </c>
      <c r="G27" s="59" t="str">
        <f t="shared" si="5"/>
        <v/>
      </c>
      <c r="H27" s="59" t="str">
        <f t="shared" si="5"/>
        <v/>
      </c>
      <c r="I27" s="59" t="str">
        <f t="shared" si="5"/>
        <v/>
      </c>
      <c r="J27" s="59" t="str">
        <f t="shared" si="5"/>
        <v/>
      </c>
      <c r="K27" s="59" t="str">
        <f t="shared" si="5"/>
        <v/>
      </c>
      <c r="L27" s="59" t="str">
        <f t="shared" si="5"/>
        <v/>
      </c>
      <c r="M27" s="59" t="str">
        <f t="shared" si="5"/>
        <v/>
      </c>
      <c r="N27" s="59" t="str">
        <f t="shared" si="5"/>
        <v/>
      </c>
      <c r="O27" s="59" t="str">
        <f t="shared" si="5"/>
        <v/>
      </c>
      <c r="P27" s="59" t="str">
        <f t="shared" si="5"/>
        <v/>
      </c>
      <c r="Q27" s="59" t="str">
        <f t="shared" si="5"/>
        <v/>
      </c>
      <c r="R27" s="59" t="str">
        <f t="shared" si="5"/>
        <v/>
      </c>
      <c r="S27" s="59" t="str">
        <f t="shared" si="5"/>
        <v/>
      </c>
      <c r="T27" s="59" t="str">
        <f t="shared" si="5"/>
        <v/>
      </c>
      <c r="U27" s="59" t="str">
        <f t="shared" si="5"/>
        <v/>
      </c>
      <c r="V27" s="59" t="str">
        <f t="shared" si="5"/>
        <v/>
      </c>
      <c r="W27" s="59" t="str">
        <f t="shared" si="5"/>
        <v/>
      </c>
      <c r="X27" s="59" t="str">
        <f t="shared" si="5"/>
        <v/>
      </c>
      <c r="Y27" s="59" t="str">
        <f t="shared" si="5"/>
        <v/>
      </c>
      <c r="Z27" s="59" t="str">
        <f t="shared" si="5"/>
        <v/>
      </c>
      <c r="AA27" s="59" t="str">
        <f t="shared" si="5"/>
        <v/>
      </c>
      <c r="AB27" s="59" t="str">
        <f t="shared" si="5"/>
        <v/>
      </c>
      <c r="AC27" s="59" t="str">
        <f t="shared" si="5"/>
        <v/>
      </c>
      <c r="AD27" s="59" t="str">
        <f t="shared" si="5"/>
        <v/>
      </c>
      <c r="AE27" s="59" t="str">
        <f t="shared" si="5"/>
        <v/>
      </c>
      <c r="AF27" s="59" t="str">
        <f t="shared" si="5"/>
        <v/>
      </c>
      <c r="AG27" s="59" t="str">
        <f t="shared" si="5"/>
        <v/>
      </c>
      <c r="AH27" s="59" t="str">
        <f t="shared" si="5"/>
        <v/>
      </c>
      <c r="AI27" s="59" t="str">
        <f t="shared" si="5"/>
        <v/>
      </c>
      <c r="AJ27" s="59" t="str">
        <f t="shared" si="5"/>
        <v/>
      </c>
      <c r="AK27" s="59" t="str">
        <f t="shared" si="5"/>
        <v/>
      </c>
      <c r="AL27" s="59" t="str">
        <f t="shared" si="5"/>
        <v/>
      </c>
      <c r="AM27" s="59" t="str">
        <f t="shared" si="5"/>
        <v/>
      </c>
      <c r="AN27" s="43">
        <f t="shared" si="5"/>
        <v>0.1756842246</v>
      </c>
      <c r="AO27" s="43">
        <f t="shared" si="5"/>
        <v>0.1727764455</v>
      </c>
      <c r="AP27" s="43">
        <f t="shared" si="5"/>
        <v>0.210521976</v>
      </c>
      <c r="AQ27" s="43">
        <f t="shared" si="5"/>
        <v>0.2439978747</v>
      </c>
      <c r="AR27" s="43">
        <f t="shared" si="5"/>
        <v>0.2142864543</v>
      </c>
      <c r="AS27" s="43">
        <f t="shared" si="5"/>
        <v>0.1874267532</v>
      </c>
      <c r="AT27" s="43">
        <f t="shared" si="5"/>
        <v>0.2064971285</v>
      </c>
      <c r="AU27" s="43">
        <f t="shared" si="5"/>
        <v>0.1788923108</v>
      </c>
      <c r="AV27" s="43">
        <f t="shared" si="5"/>
        <v>0.1552314383</v>
      </c>
      <c r="AW27" s="43">
        <f t="shared" si="5"/>
        <v>0.1330528558</v>
      </c>
      <c r="AX27" s="43">
        <f t="shared" si="5"/>
        <v>0.0945851883</v>
      </c>
      <c r="AY27" s="43">
        <f t="shared" si="5"/>
        <v>0.07177348201</v>
      </c>
      <c r="AZ27" s="43">
        <f t="shared" si="5"/>
        <v>0.07272903819</v>
      </c>
      <c r="BA27" s="43">
        <f t="shared" si="5"/>
        <v>0.157204766</v>
      </c>
      <c r="BB27" s="43">
        <f t="shared" si="5"/>
        <v>0.32039296</v>
      </c>
      <c r="BC27" s="43">
        <f t="shared" si="5"/>
        <v>0.3770451018</v>
      </c>
      <c r="BD27" s="59" t="str">
        <f t="shared" si="5"/>
        <v/>
      </c>
    </row>
    <row r="28" ht="15.0" customHeight="1">
      <c r="A28" s="24" t="s">
        <v>32</v>
      </c>
      <c r="B28" s="24" t="s">
        <v>20</v>
      </c>
      <c r="C28" s="59"/>
      <c r="D28" s="59" t="str">
        <f t="shared" ref="D28:BD28" si="6">IFERROR((D13-C13)/ABS(C13),"")</f>
        <v/>
      </c>
      <c r="E28" s="59" t="str">
        <f t="shared" si="6"/>
        <v/>
      </c>
      <c r="F28" s="59" t="str">
        <f t="shared" si="6"/>
        <v/>
      </c>
      <c r="G28" s="59" t="str">
        <f t="shared" si="6"/>
        <v/>
      </c>
      <c r="H28" s="59" t="str">
        <f t="shared" si="6"/>
        <v/>
      </c>
      <c r="I28" s="59" t="str">
        <f t="shared" si="6"/>
        <v/>
      </c>
      <c r="J28" s="59" t="str">
        <f t="shared" si="6"/>
        <v/>
      </c>
      <c r="K28" s="59" t="str">
        <f t="shared" si="6"/>
        <v/>
      </c>
      <c r="L28" s="59" t="str">
        <f t="shared" si="6"/>
        <v/>
      </c>
      <c r="M28" s="59" t="str">
        <f t="shared" si="6"/>
        <v/>
      </c>
      <c r="N28" s="59" t="str">
        <f t="shared" si="6"/>
        <v/>
      </c>
      <c r="O28" s="59" t="str">
        <f t="shared" si="6"/>
        <v/>
      </c>
      <c r="P28" s="59" t="str">
        <f t="shared" si="6"/>
        <v/>
      </c>
      <c r="Q28" s="59" t="str">
        <f t="shared" si="6"/>
        <v/>
      </c>
      <c r="R28" s="59" t="str">
        <f t="shared" si="6"/>
        <v/>
      </c>
      <c r="S28" s="59" t="str">
        <f t="shared" si="6"/>
        <v/>
      </c>
      <c r="T28" s="59" t="str">
        <f t="shared" si="6"/>
        <v/>
      </c>
      <c r="U28" s="59" t="str">
        <f t="shared" si="6"/>
        <v/>
      </c>
      <c r="V28" s="59" t="str">
        <f t="shared" si="6"/>
        <v/>
      </c>
      <c r="W28" s="59" t="str">
        <f t="shared" si="6"/>
        <v/>
      </c>
      <c r="X28" s="59" t="str">
        <f t="shared" si="6"/>
        <v/>
      </c>
      <c r="Y28" s="59" t="str">
        <f t="shared" si="6"/>
        <v/>
      </c>
      <c r="Z28" s="59" t="str">
        <f t="shared" si="6"/>
        <v/>
      </c>
      <c r="AA28" s="59" t="str">
        <f t="shared" si="6"/>
        <v/>
      </c>
      <c r="AB28" s="59" t="str">
        <f t="shared" si="6"/>
        <v/>
      </c>
      <c r="AC28" s="59" t="str">
        <f t="shared" si="6"/>
        <v/>
      </c>
      <c r="AD28" s="59" t="str">
        <f t="shared" si="6"/>
        <v/>
      </c>
      <c r="AE28" s="59" t="str">
        <f t="shared" si="6"/>
        <v/>
      </c>
      <c r="AF28" s="59" t="str">
        <f t="shared" si="6"/>
        <v/>
      </c>
      <c r="AG28" s="59" t="str">
        <f t="shared" si="6"/>
        <v/>
      </c>
      <c r="AH28" s="59" t="str">
        <f t="shared" si="6"/>
        <v/>
      </c>
      <c r="AI28" s="59" t="str">
        <f t="shared" si="6"/>
        <v/>
      </c>
      <c r="AJ28" s="59" t="str">
        <f t="shared" si="6"/>
        <v/>
      </c>
      <c r="AK28" s="59" t="str">
        <f t="shared" si="6"/>
        <v/>
      </c>
      <c r="AL28" s="59" t="str">
        <f t="shared" si="6"/>
        <v/>
      </c>
      <c r="AM28" s="59" t="str">
        <f t="shared" si="6"/>
        <v/>
      </c>
      <c r="AN28" s="59" t="str">
        <f t="shared" si="6"/>
        <v/>
      </c>
      <c r="AO28" s="59" t="str">
        <f t="shared" si="6"/>
        <v/>
      </c>
      <c r="AP28" s="43">
        <f t="shared" si="6"/>
        <v>0.0899303349</v>
      </c>
      <c r="AQ28" s="43">
        <f t="shared" si="6"/>
        <v>-1.775446343</v>
      </c>
      <c r="AR28" s="43">
        <f t="shared" si="6"/>
        <v>-6.675572181</v>
      </c>
      <c r="AS28" s="43">
        <f t="shared" si="6"/>
        <v>0.9280341071</v>
      </c>
      <c r="AT28" s="43">
        <f t="shared" si="6"/>
        <v>-2.153227765</v>
      </c>
      <c r="AU28" s="43">
        <f t="shared" si="6"/>
        <v>0.1663005186</v>
      </c>
      <c r="AV28" s="43">
        <f t="shared" si="6"/>
        <v>-0.1059952739</v>
      </c>
      <c r="AW28" s="43">
        <f t="shared" si="6"/>
        <v>-0.08544704145</v>
      </c>
      <c r="AX28" s="43">
        <f t="shared" si="6"/>
        <v>-0.8270811484</v>
      </c>
      <c r="AY28" s="43">
        <f t="shared" si="6"/>
        <v>-0.03330543478</v>
      </c>
      <c r="AZ28" s="43">
        <f t="shared" si="6"/>
        <v>-0.04199529383</v>
      </c>
      <c r="BA28" s="43">
        <f t="shared" si="6"/>
        <v>-0.7845632552</v>
      </c>
      <c r="BB28" s="43">
        <f t="shared" si="6"/>
        <v>-1.731148278</v>
      </c>
      <c r="BC28" s="43">
        <f t="shared" si="6"/>
        <v>-0.2676875036</v>
      </c>
      <c r="BD28" s="43">
        <f t="shared" si="6"/>
        <v>1</v>
      </c>
    </row>
    <row r="29" ht="15.0" customHeight="1">
      <c r="A29" s="24" t="s">
        <v>33</v>
      </c>
      <c r="B29" s="24" t="s">
        <v>20</v>
      </c>
      <c r="C29" s="59"/>
      <c r="D29" s="59" t="str">
        <f t="shared" ref="D29:BD29" si="7">IFERROR((D6-C6)/C6,"")</f>
        <v/>
      </c>
      <c r="E29" s="59" t="str">
        <f t="shared" si="7"/>
        <v/>
      </c>
      <c r="F29" s="59" t="str">
        <f t="shared" si="7"/>
        <v/>
      </c>
      <c r="G29" s="59" t="str">
        <f t="shared" si="7"/>
        <v/>
      </c>
      <c r="H29" s="59" t="str">
        <f t="shared" si="7"/>
        <v/>
      </c>
      <c r="I29" s="59" t="str">
        <f t="shared" si="7"/>
        <v/>
      </c>
      <c r="J29" s="59" t="str">
        <f t="shared" si="7"/>
        <v/>
      </c>
      <c r="K29" s="59" t="str">
        <f t="shared" si="7"/>
        <v/>
      </c>
      <c r="L29" s="59" t="str">
        <f t="shared" si="7"/>
        <v/>
      </c>
      <c r="M29" s="59" t="str">
        <f t="shared" si="7"/>
        <v/>
      </c>
      <c r="N29" s="59" t="str">
        <f t="shared" si="7"/>
        <v/>
      </c>
      <c r="O29" s="59" t="str">
        <f t="shared" si="7"/>
        <v/>
      </c>
      <c r="P29" s="59" t="str">
        <f t="shared" si="7"/>
        <v/>
      </c>
      <c r="Q29" s="59" t="str">
        <f t="shared" si="7"/>
        <v/>
      </c>
      <c r="R29" s="59" t="str">
        <f t="shared" si="7"/>
        <v/>
      </c>
      <c r="S29" s="59" t="str">
        <f t="shared" si="7"/>
        <v/>
      </c>
      <c r="T29" s="59" t="str">
        <f t="shared" si="7"/>
        <v/>
      </c>
      <c r="U29" s="59" t="str">
        <f t="shared" si="7"/>
        <v/>
      </c>
      <c r="V29" s="59" t="str">
        <f t="shared" si="7"/>
        <v/>
      </c>
      <c r="W29" s="59" t="str">
        <f t="shared" si="7"/>
        <v/>
      </c>
      <c r="X29" s="59" t="str">
        <f t="shared" si="7"/>
        <v/>
      </c>
      <c r="Y29" s="59" t="str">
        <f t="shared" si="7"/>
        <v/>
      </c>
      <c r="Z29" s="59" t="str">
        <f t="shared" si="7"/>
        <v/>
      </c>
      <c r="AA29" s="59" t="str">
        <f t="shared" si="7"/>
        <v/>
      </c>
      <c r="AB29" s="59" t="str">
        <f t="shared" si="7"/>
        <v/>
      </c>
      <c r="AC29" s="59" t="str">
        <f t="shared" si="7"/>
        <v/>
      </c>
      <c r="AD29" s="59" t="str">
        <f t="shared" si="7"/>
        <v/>
      </c>
      <c r="AE29" s="59" t="str">
        <f t="shared" si="7"/>
        <v/>
      </c>
      <c r="AF29" s="59" t="str">
        <f t="shared" si="7"/>
        <v/>
      </c>
      <c r="AG29" s="59" t="str">
        <f t="shared" si="7"/>
        <v/>
      </c>
      <c r="AH29" s="59" t="str">
        <f t="shared" si="7"/>
        <v/>
      </c>
      <c r="AI29" s="59" t="str">
        <f t="shared" si="7"/>
        <v/>
      </c>
      <c r="AJ29" s="59" t="str">
        <f t="shared" si="7"/>
        <v/>
      </c>
      <c r="AK29" s="59" t="str">
        <f t="shared" si="7"/>
        <v/>
      </c>
      <c r="AL29" s="59" t="str">
        <f t="shared" si="7"/>
        <v/>
      </c>
      <c r="AM29" s="59" t="str">
        <f t="shared" si="7"/>
        <v/>
      </c>
      <c r="AN29" s="59" t="str">
        <f t="shared" si="7"/>
        <v/>
      </c>
      <c r="AO29" s="43">
        <f t="shared" si="7"/>
        <v>0.09652475394</v>
      </c>
      <c r="AP29" s="43">
        <f t="shared" si="7"/>
        <v>0.09143474972</v>
      </c>
      <c r="AQ29" s="43">
        <f t="shared" si="7"/>
        <v>0.01707621479</v>
      </c>
      <c r="AR29" s="43">
        <f t="shared" si="7"/>
        <v>0.09432791359</v>
      </c>
      <c r="AS29" s="43">
        <f t="shared" si="7"/>
        <v>0.08001621288</v>
      </c>
      <c r="AT29" s="43">
        <f t="shared" si="7"/>
        <v>0.01952028316</v>
      </c>
      <c r="AU29" s="43">
        <f t="shared" si="7"/>
        <v>0.02903157804</v>
      </c>
      <c r="AV29" s="43">
        <f t="shared" si="7"/>
        <v>0.05076071066</v>
      </c>
      <c r="AW29" s="43">
        <f t="shared" si="7"/>
        <v>0.05727409859</v>
      </c>
      <c r="AX29" s="43">
        <f t="shared" si="7"/>
        <v>0.07795917685</v>
      </c>
      <c r="AY29" s="43">
        <f t="shared" si="7"/>
        <v>0.1598513183</v>
      </c>
      <c r="AZ29" s="43">
        <f t="shared" si="7"/>
        <v>0.07726244439</v>
      </c>
      <c r="BA29" s="43">
        <f t="shared" si="7"/>
        <v>0.1455450881</v>
      </c>
      <c r="BB29" s="43">
        <f t="shared" si="7"/>
        <v>0.06779864799</v>
      </c>
      <c r="BC29" s="43">
        <f t="shared" si="7"/>
        <v>0.08257132716</v>
      </c>
      <c r="BD29" s="43">
        <f t="shared" si="7"/>
        <v>-1</v>
      </c>
    </row>
    <row r="30" ht="15.0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ht="15.0" customHeight="1">
      <c r="A31" s="64" t="s">
        <v>50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</row>
    <row r="32" ht="15.0" customHeight="1">
      <c r="A32" s="65" t="s">
        <v>51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ht="15.0" customHeight="1">
      <c r="A33" s="65" t="s">
        <v>52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</row>
    <row r="34" ht="15.0" customHeight="1">
      <c r="A34" s="65" t="s">
        <v>53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ht="15.0" customHeight="1">
      <c r="A35" s="65" t="s">
        <v>54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</row>
    <row r="36" ht="15.0" customHeight="1">
      <c r="A36" s="65" t="s">
        <v>55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</row>
    <row r="37" ht="15.0" customHeight="1">
      <c r="A37" s="65" t="s">
        <v>56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</row>
    <row r="38" ht="15.0" customHeight="1">
      <c r="A38" s="65" t="s">
        <v>57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ht="15.0" customHeight="1">
      <c r="A39" s="65" t="s">
        <v>58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</row>
    <row r="40" ht="15.0" customHeight="1">
      <c r="A40" s="65" t="s">
        <v>59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ht="15.0" customHeight="1">
      <c r="A41" s="65" t="s">
        <v>60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</row>
    <row r="42" ht="15.0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ht="15.0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</row>
    <row r="44" ht="15.0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ht="15.0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</row>
    <row r="46" ht="15.0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ht="15.0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</row>
    <row r="48" ht="15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ht="15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</row>
    <row r="50" ht="15.0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ht="15.0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</row>
    <row r="52" ht="15.0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ht="15.0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</row>
    <row r="54" ht="15.0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ht="15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</row>
    <row r="56" ht="15.0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</row>
    <row r="57" ht="15.0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</row>
    <row r="58" ht="15.0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</row>
    <row r="59" ht="15.0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</row>
    <row r="60" ht="15.0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</row>
    <row r="61" ht="15.0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</row>
    <row r="62" ht="15.0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</row>
    <row r="63" ht="15.0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</row>
    <row r="64" ht="15.0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</row>
    <row r="65" ht="15.0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</row>
    <row r="66" ht="15.0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</row>
    <row r="67" ht="15.0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</row>
    <row r="68" ht="15.0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</row>
    <row r="69" ht="15.0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</row>
    <row r="70" ht="15.0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</row>
    <row r="71" ht="15.0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</row>
    <row r="72" ht="15.0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</row>
    <row r="73" ht="15.0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</row>
    <row r="74" ht="15.0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</row>
    <row r="75" ht="15.0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</row>
    <row r="76" ht="15.0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</row>
    <row r="77" ht="15.0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</row>
    <row r="78" ht="15.0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</row>
    <row r="79" ht="15.0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</row>
    <row r="80" ht="15.0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</row>
    <row r="81" ht="15.0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</row>
    <row r="82" ht="15.0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</row>
    <row r="83" ht="15.0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</row>
    <row r="84" ht="15.0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</row>
    <row r="85" ht="15.0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</row>
    <row r="86" ht="15.0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</row>
    <row r="87" ht="15.0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</row>
    <row r="88" ht="15.0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</row>
    <row r="89" ht="15.0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</row>
    <row r="90" ht="15.0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 ht="15.0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</row>
    <row r="92" ht="15.0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 ht="15.0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</row>
    <row r="94" ht="15.0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 ht="15.0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</row>
    <row r="96" ht="15.0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 ht="15.0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</row>
    <row r="98" ht="15.0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 ht="15.0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</row>
    <row r="100" ht="15.0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 ht="15.0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</row>
    <row r="102" ht="15.0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 ht="15.0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</row>
    <row r="104" ht="15.0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 ht="15.0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</row>
    <row r="106" ht="15.0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 ht="15.0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</row>
    <row r="108" ht="15.0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 ht="15.0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</row>
    <row r="110" ht="15.0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 ht="15.0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</row>
    <row r="112" ht="15.0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 ht="15.0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</row>
    <row r="114" ht="15.0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 ht="15.0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</row>
    <row r="116" ht="15.0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</row>
    <row r="117" ht="15.0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</row>
    <row r="118" ht="15.0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</row>
    <row r="119" ht="15.0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</row>
    <row r="120" ht="15.0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</row>
    <row r="121" ht="15.0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</row>
    <row r="122" ht="15.0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</row>
    <row r="123" ht="15.0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</row>
    <row r="124" ht="15.0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</row>
    <row r="125" ht="15.0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</row>
    <row r="126" ht="15.0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</row>
    <row r="127" ht="15.0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</row>
    <row r="128" ht="15.0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</row>
    <row r="129" ht="15.0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</row>
    <row r="130" ht="15.0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</row>
    <row r="131" ht="15.0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</row>
    <row r="132" ht="15.0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</row>
    <row r="133" ht="15.0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</row>
    <row r="134" ht="15.0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</row>
    <row r="135" ht="15.0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</row>
    <row r="136" ht="15.0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</row>
    <row r="137" ht="15.0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</row>
    <row r="138" ht="15.0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</row>
    <row r="139" ht="15.0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</row>
    <row r="140" ht="15.0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</row>
    <row r="141" ht="15.0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</row>
    <row r="142" ht="15.0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</row>
    <row r="143" ht="15.0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</row>
    <row r="144" ht="15.0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</row>
    <row r="145" ht="15.0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</row>
    <row r="146" ht="15.0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</row>
    <row r="147" ht="15.0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</row>
    <row r="148" ht="15.0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</row>
    <row r="149" ht="15.0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</row>
    <row r="150" ht="15.0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</row>
    <row r="151" ht="15.0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</row>
    <row r="152" ht="15.0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</row>
    <row r="153" ht="15.0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</row>
    <row r="154" ht="15.0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</row>
    <row r="155" ht="15.0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</row>
    <row r="156" ht="15.0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</row>
    <row r="157" ht="15.0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</row>
    <row r="158" ht="15.0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</row>
    <row r="159" ht="15.0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</row>
    <row r="160" ht="15.0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</row>
    <row r="161" ht="15.0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</row>
    <row r="162" ht="15.0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</row>
    <row r="163" ht="15.0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</row>
    <row r="164" ht="15.0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</row>
    <row r="165" ht="15.0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</row>
    <row r="166" ht="15.0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</row>
    <row r="167" ht="15.0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</row>
    <row r="168" ht="15.0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</row>
    <row r="169" ht="15.0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</row>
    <row r="170" ht="15.0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</row>
    <row r="171" ht="15.0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</row>
    <row r="172" ht="15.0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</row>
    <row r="173" ht="15.0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</row>
    <row r="174" ht="15.0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</row>
    <row r="175" ht="15.0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</row>
    <row r="176" ht="15.0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</row>
    <row r="177" ht="15.0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</row>
    <row r="178" ht="15.0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</row>
    <row r="179" ht="15.0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</row>
    <row r="180" ht="15.0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</row>
    <row r="181" ht="15.0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</row>
    <row r="182" ht="15.0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</row>
    <row r="183" ht="15.0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</row>
    <row r="184" ht="15.0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</row>
    <row r="185" ht="15.0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</row>
    <row r="186" ht="15.0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</row>
    <row r="187" ht="15.0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</row>
    <row r="188" ht="15.0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</row>
    <row r="189" ht="15.0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</row>
    <row r="190" ht="15.0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</row>
    <row r="191" ht="15.0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</row>
    <row r="192" ht="15.0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</row>
    <row r="193" ht="15.0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</row>
    <row r="194" ht="15.0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</row>
    <row r="195" ht="15.0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</row>
    <row r="196" ht="15.0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</row>
    <row r="197" ht="15.0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</row>
    <row r="198" ht="15.0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</row>
    <row r="199" ht="15.0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</row>
    <row r="200" ht="15.0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</row>
    <row r="201" ht="15.0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</row>
    <row r="202" ht="15.0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</row>
    <row r="203" ht="15.0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</row>
    <row r="204" ht="15.0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</row>
    <row r="205" ht="15.0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</row>
    <row r="206" ht="15.0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</row>
    <row r="207" ht="15.0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</row>
    <row r="208" ht="15.0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</row>
    <row r="209" ht="15.0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</row>
    <row r="210" ht="15.0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</row>
    <row r="211" ht="15.0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</row>
    <row r="212" ht="15.0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</row>
    <row r="213" ht="15.0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</row>
    <row r="214" ht="15.0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</row>
    <row r="215" ht="15.0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</row>
    <row r="216" ht="15.0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</row>
    <row r="217" ht="15.0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</row>
    <row r="218" ht="15.0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</row>
    <row r="219" ht="15.0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</row>
    <row r="220" ht="15.0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</row>
    <row r="221" ht="15.0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</row>
    <row r="222" ht="15.0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</row>
    <row r="223" ht="15.0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</row>
    <row r="224" ht="15.0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</row>
    <row r="225" ht="15.0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</row>
    <row r="226" ht="15.0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</row>
    <row r="227" ht="15.0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</row>
    <row r="228" ht="15.0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</row>
    <row r="229" ht="15.0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</row>
    <row r="230" ht="15.0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</row>
    <row r="231" ht="15.0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</row>
    <row r="232" ht="15.0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</row>
    <row r="233" ht="15.0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</row>
    <row r="234" ht="15.0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</row>
    <row r="235" ht="15.0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</row>
    <row r="236" ht="15.0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</row>
    <row r="237" ht="15.0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</row>
    <row r="238" ht="15.0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</row>
    <row r="239" ht="15.0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</row>
    <row r="240" ht="15.0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</row>
    <row r="241" ht="15.0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88"/>
    <col customWidth="1" min="2" max="6" width="12.63"/>
  </cols>
  <sheetData>
    <row r="1" ht="47.25" customHeight="1">
      <c r="A1" s="1"/>
    </row>
    <row r="2" ht="17.25" customHeight="1">
      <c r="A2" s="51" t="s">
        <v>49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</row>
    <row r="3" ht="15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</row>
    <row r="4" ht="15.75" customHeight="1">
      <c r="A4" s="55" t="s">
        <v>4</v>
      </c>
      <c r="B4" s="55" t="s">
        <v>5</v>
      </c>
      <c r="C4" s="56">
        <v>1972.0</v>
      </c>
      <c r="D4" s="57">
        <f t="shared" ref="D4:BE4" si="1">C4+1</f>
        <v>1973</v>
      </c>
      <c r="E4" s="57">
        <f t="shared" si="1"/>
        <v>1974</v>
      </c>
      <c r="F4" s="57">
        <f t="shared" si="1"/>
        <v>1975</v>
      </c>
      <c r="G4" s="57">
        <f t="shared" si="1"/>
        <v>1976</v>
      </c>
      <c r="H4" s="57">
        <f t="shared" si="1"/>
        <v>1977</v>
      </c>
      <c r="I4" s="57">
        <f t="shared" si="1"/>
        <v>1978</v>
      </c>
      <c r="J4" s="57">
        <f t="shared" si="1"/>
        <v>1979</v>
      </c>
      <c r="K4" s="57">
        <f t="shared" si="1"/>
        <v>1980</v>
      </c>
      <c r="L4" s="57">
        <f t="shared" si="1"/>
        <v>1981</v>
      </c>
      <c r="M4" s="57">
        <f t="shared" si="1"/>
        <v>1982</v>
      </c>
      <c r="N4" s="57">
        <f t="shared" si="1"/>
        <v>1983</v>
      </c>
      <c r="O4" s="57">
        <f t="shared" si="1"/>
        <v>1984</v>
      </c>
      <c r="P4" s="57">
        <f t="shared" si="1"/>
        <v>1985</v>
      </c>
      <c r="Q4" s="57">
        <f t="shared" si="1"/>
        <v>1986</v>
      </c>
      <c r="R4" s="57">
        <f t="shared" si="1"/>
        <v>1987</v>
      </c>
      <c r="S4" s="57">
        <f t="shared" si="1"/>
        <v>1988</v>
      </c>
      <c r="T4" s="57">
        <f t="shared" si="1"/>
        <v>1989</v>
      </c>
      <c r="U4" s="57">
        <f t="shared" si="1"/>
        <v>1990</v>
      </c>
      <c r="V4" s="57">
        <f t="shared" si="1"/>
        <v>1991</v>
      </c>
      <c r="W4" s="57">
        <f t="shared" si="1"/>
        <v>1992</v>
      </c>
      <c r="X4" s="57">
        <f t="shared" si="1"/>
        <v>1993</v>
      </c>
      <c r="Y4" s="57">
        <f t="shared" si="1"/>
        <v>1994</v>
      </c>
      <c r="Z4" s="57">
        <f t="shared" si="1"/>
        <v>1995</v>
      </c>
      <c r="AA4" s="57">
        <f t="shared" si="1"/>
        <v>1996</v>
      </c>
      <c r="AB4" s="57">
        <f t="shared" si="1"/>
        <v>1997</v>
      </c>
      <c r="AC4" s="57">
        <f t="shared" si="1"/>
        <v>1998</v>
      </c>
      <c r="AD4" s="57">
        <f t="shared" si="1"/>
        <v>1999</v>
      </c>
      <c r="AE4" s="57">
        <f t="shared" si="1"/>
        <v>2000</v>
      </c>
      <c r="AF4" s="57">
        <f t="shared" si="1"/>
        <v>2001</v>
      </c>
      <c r="AG4" s="57">
        <f t="shared" si="1"/>
        <v>2002</v>
      </c>
      <c r="AH4" s="57">
        <f t="shared" si="1"/>
        <v>2003</v>
      </c>
      <c r="AI4" s="57">
        <f t="shared" si="1"/>
        <v>2004</v>
      </c>
      <c r="AJ4" s="57">
        <f t="shared" si="1"/>
        <v>2005</v>
      </c>
      <c r="AK4" s="57">
        <f t="shared" si="1"/>
        <v>2006</v>
      </c>
      <c r="AL4" s="57">
        <f t="shared" si="1"/>
        <v>2007</v>
      </c>
      <c r="AM4" s="57">
        <f t="shared" si="1"/>
        <v>2008</v>
      </c>
      <c r="AN4" s="57">
        <f t="shared" si="1"/>
        <v>2009</v>
      </c>
      <c r="AO4" s="57">
        <f t="shared" si="1"/>
        <v>2010</v>
      </c>
      <c r="AP4" s="57">
        <f t="shared" si="1"/>
        <v>2011</v>
      </c>
      <c r="AQ4" s="57">
        <f t="shared" si="1"/>
        <v>2012</v>
      </c>
      <c r="AR4" s="57">
        <f t="shared" si="1"/>
        <v>2013</v>
      </c>
      <c r="AS4" s="57">
        <f t="shared" si="1"/>
        <v>2014</v>
      </c>
      <c r="AT4" s="57">
        <f t="shared" si="1"/>
        <v>2015</v>
      </c>
      <c r="AU4" s="57">
        <f t="shared" si="1"/>
        <v>2016</v>
      </c>
      <c r="AV4" s="57">
        <f t="shared" si="1"/>
        <v>2017</v>
      </c>
      <c r="AW4" s="57">
        <f t="shared" si="1"/>
        <v>2018</v>
      </c>
      <c r="AX4" s="57">
        <f t="shared" si="1"/>
        <v>2019</v>
      </c>
      <c r="AY4" s="57">
        <f t="shared" si="1"/>
        <v>2020</v>
      </c>
      <c r="AZ4" s="57">
        <f t="shared" si="1"/>
        <v>2021</v>
      </c>
      <c r="BA4" s="57">
        <f t="shared" si="1"/>
        <v>2022</v>
      </c>
      <c r="BB4" s="57">
        <f t="shared" si="1"/>
        <v>2023</v>
      </c>
      <c r="BC4" s="57">
        <f t="shared" si="1"/>
        <v>2024</v>
      </c>
      <c r="BD4" s="57">
        <f t="shared" si="1"/>
        <v>2025</v>
      </c>
      <c r="BE4" s="57">
        <f t="shared" si="1"/>
        <v>2026</v>
      </c>
    </row>
    <row r="5" ht="15.75" customHeight="1">
      <c r="A5" s="60" t="s">
        <v>6</v>
      </c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</row>
    <row r="6" ht="15.75" customHeight="1">
      <c r="A6" s="24" t="s">
        <v>7</v>
      </c>
      <c r="B6" s="24" t="s">
        <v>8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>
        <v>87791.4</v>
      </c>
      <c r="AO6" s="25">
        <v>124434.5</v>
      </c>
      <c r="AP6" s="25">
        <v>143023.3</v>
      </c>
      <c r="AQ6" s="25">
        <v>172993.1</v>
      </c>
      <c r="AR6" s="25">
        <v>216185.8</v>
      </c>
      <c r="AS6" s="25">
        <v>268078.4</v>
      </c>
      <c r="AT6" s="25">
        <v>300549.8</v>
      </c>
      <c r="AU6" s="25">
        <v>334108.5</v>
      </c>
      <c r="AV6" s="25">
        <v>382410.2</v>
      </c>
      <c r="AW6" s="25">
        <v>463289.8</v>
      </c>
      <c r="AX6" s="25">
        <v>497249.3</v>
      </c>
      <c r="AY6" s="25">
        <v>630547.7</v>
      </c>
      <c r="AZ6" s="25">
        <v>665248.0</v>
      </c>
      <c r="BA6" s="25">
        <v>686727.2</v>
      </c>
      <c r="BB6" s="25">
        <v>793302.1</v>
      </c>
      <c r="BC6" s="25">
        <v>806600.47</v>
      </c>
      <c r="BD6" s="25">
        <v>846286.18</v>
      </c>
      <c r="BE6" s="25"/>
    </row>
    <row r="7" ht="15.75" customHeight="1">
      <c r="A7" s="24" t="s">
        <v>9</v>
      </c>
      <c r="B7" s="24" t="s">
        <v>8</v>
      </c>
      <c r="C7" s="25">
        <v>527.6</v>
      </c>
      <c r="D7" s="25">
        <v>671.7</v>
      </c>
      <c r="E7" s="25">
        <v>727.8</v>
      </c>
      <c r="F7" s="25">
        <v>816.8</v>
      </c>
      <c r="G7" s="25">
        <v>969.7</v>
      </c>
      <c r="H7" s="25">
        <v>1248.6</v>
      </c>
      <c r="I7" s="25">
        <v>1596.6</v>
      </c>
      <c r="J7" s="25">
        <v>2213.7</v>
      </c>
      <c r="K7" s="25">
        <v>2849.5</v>
      </c>
      <c r="L7" s="25">
        <v>3264.1</v>
      </c>
      <c r="M7" s="25">
        <v>3382.7</v>
      </c>
      <c r="N7" s="25">
        <v>4101.6</v>
      </c>
      <c r="O7" s="25">
        <v>6270.0</v>
      </c>
      <c r="P7" s="25">
        <v>7029.1</v>
      </c>
      <c r="Q7" s="25">
        <v>7675.0</v>
      </c>
      <c r="R7" s="25">
        <v>9214.3</v>
      </c>
      <c r="S7" s="25">
        <v>10261.0</v>
      </c>
      <c r="T7" s="25">
        <v>11980.8</v>
      </c>
      <c r="U7" s="25">
        <v>11091.1</v>
      </c>
      <c r="V7" s="25">
        <v>11657.2</v>
      </c>
      <c r="W7" s="25">
        <v>11096.3</v>
      </c>
      <c r="X7" s="25">
        <v>12635.0</v>
      </c>
      <c r="Y7" s="25">
        <v>13372.3</v>
      </c>
      <c r="Z7" s="25">
        <v>14525.9</v>
      </c>
      <c r="AA7" s="25">
        <v>17326.5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>
        <v>49030.0</v>
      </c>
      <c r="AN7" s="25">
        <v>52344.2</v>
      </c>
      <c r="AO7" s="25">
        <v>66049.0</v>
      </c>
      <c r="AP7" s="25">
        <v>76524.9</v>
      </c>
      <c r="AQ7" s="25">
        <v>90641.6</v>
      </c>
      <c r="AR7" s="25">
        <v>107426.3</v>
      </c>
      <c r="AS7" s="25">
        <v>125012.0</v>
      </c>
      <c r="AT7" s="25">
        <v>142515.0</v>
      </c>
      <c r="AU7" s="25">
        <v>175150.4</v>
      </c>
      <c r="AV7" s="25">
        <v>206672.7</v>
      </c>
      <c r="AW7" s="25">
        <v>247490.6</v>
      </c>
      <c r="AX7" s="25">
        <v>306724.0</v>
      </c>
      <c r="AY7" s="25">
        <v>336835.2</v>
      </c>
      <c r="AZ7" s="25">
        <v>380833.7</v>
      </c>
      <c r="BA7" s="25">
        <v>435400.8</v>
      </c>
      <c r="BB7" s="25">
        <v>477601.16</v>
      </c>
      <c r="BC7" s="25">
        <v>513422.22</v>
      </c>
      <c r="BD7" s="25">
        <v>512527.09</v>
      </c>
      <c r="BE7" s="25"/>
    </row>
    <row r="8" ht="15.75" customHeight="1">
      <c r="A8" s="24" t="s">
        <v>10</v>
      </c>
      <c r="B8" s="24" t="s">
        <v>8</v>
      </c>
      <c r="C8" s="25">
        <v>624.7</v>
      </c>
      <c r="D8" s="25">
        <v>899.5</v>
      </c>
      <c r="E8" s="25">
        <v>1052.9</v>
      </c>
      <c r="F8" s="25">
        <v>1110.0</v>
      </c>
      <c r="G8" s="25">
        <v>1344.4</v>
      </c>
      <c r="H8" s="25">
        <v>1786.0</v>
      </c>
      <c r="I8" s="25">
        <v>2267.1</v>
      </c>
      <c r="J8" s="25">
        <v>2887.0</v>
      </c>
      <c r="K8" s="25">
        <v>3578.3</v>
      </c>
      <c r="L8" s="25">
        <v>3976.1</v>
      </c>
      <c r="M8" s="25">
        <v>4536.8</v>
      </c>
      <c r="N8" s="25">
        <v>6276.3</v>
      </c>
      <c r="O8" s="25">
        <v>4624.6</v>
      </c>
      <c r="P8" s="25">
        <v>9682.5</v>
      </c>
      <c r="Q8" s="25">
        <v>11666.7</v>
      </c>
      <c r="R8" s="25">
        <v>13851.3</v>
      </c>
      <c r="S8" s="25">
        <v>15155.4</v>
      </c>
      <c r="T8" s="25">
        <v>16332.6</v>
      </c>
      <c r="U8" s="25">
        <v>16960.5</v>
      </c>
      <c r="V8" s="25">
        <v>19042.8</v>
      </c>
      <c r="W8" s="25">
        <v>20769.7</v>
      </c>
      <c r="X8" s="25">
        <v>22349.3</v>
      </c>
      <c r="Y8" s="25">
        <v>24182.7</v>
      </c>
      <c r="Z8" s="25">
        <v>27335.8</v>
      </c>
      <c r="AA8" s="25">
        <v>32466.9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>
        <v>70280.0</v>
      </c>
      <c r="AN8" s="25">
        <v>73803.4</v>
      </c>
      <c r="AO8" s="25">
        <v>91123.8</v>
      </c>
      <c r="AP8" s="25">
        <v>107234.0</v>
      </c>
      <c r="AQ8" s="25">
        <v>136598.8</v>
      </c>
      <c r="AR8" s="25">
        <v>177955.8</v>
      </c>
      <c r="AS8" s="25">
        <v>221656.8</v>
      </c>
      <c r="AT8" s="25">
        <v>253829.6</v>
      </c>
      <c r="AU8" s="25">
        <v>279116.0</v>
      </c>
      <c r="AV8" s="25">
        <v>319487.6</v>
      </c>
      <c r="AW8" s="25">
        <v>389549.5</v>
      </c>
      <c r="AX8" s="25">
        <v>414624.3</v>
      </c>
      <c r="AY8" s="25">
        <v>532299.9</v>
      </c>
      <c r="AZ8" s="25">
        <v>576430.6</v>
      </c>
      <c r="BA8" s="25">
        <v>588675.8</v>
      </c>
      <c r="BB8" s="25">
        <v>667317.88</v>
      </c>
      <c r="BC8" s="25">
        <v>685898.29</v>
      </c>
      <c r="BD8" s="25">
        <v>720622.13</v>
      </c>
      <c r="BE8" s="25"/>
    </row>
    <row r="9" ht="15.75" customHeight="1">
      <c r="A9" s="24" t="s">
        <v>11</v>
      </c>
      <c r="B9" s="24" t="s">
        <v>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>
        <v>-5581.8</v>
      </c>
      <c r="AO9" s="25">
        <v>14151.5</v>
      </c>
      <c r="AP9" s="25">
        <v>13437.8</v>
      </c>
      <c r="AQ9" s="25">
        <v>11655.7</v>
      </c>
      <c r="AR9" s="25">
        <v>11819.7</v>
      </c>
      <c r="AS9" s="25">
        <v>14774.5</v>
      </c>
      <c r="AT9" s="25">
        <v>12706.5</v>
      </c>
      <c r="AU9" s="25">
        <v>11656.4</v>
      </c>
      <c r="AV9" s="25">
        <v>13271.7</v>
      </c>
      <c r="AW9" s="25">
        <v>17076.9</v>
      </c>
      <c r="AX9" s="25">
        <v>16876.0</v>
      </c>
      <c r="AY9" s="25">
        <v>18050.8</v>
      </c>
      <c r="AZ9" s="25">
        <v>16901.5</v>
      </c>
      <c r="BA9" s="25">
        <v>16346.7</v>
      </c>
      <c r="BB9" s="25">
        <v>16632.3</v>
      </c>
      <c r="BC9" s="25">
        <v>16517.34</v>
      </c>
      <c r="BD9" s="25">
        <v>16633.77</v>
      </c>
      <c r="BE9" s="25"/>
    </row>
    <row r="10" ht="15.75" customHeight="1">
      <c r="A10" s="60" t="s">
        <v>12</v>
      </c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</row>
    <row r="11" ht="15.75" customHeight="1">
      <c r="A11" s="24" t="s">
        <v>13</v>
      </c>
      <c r="B11" s="24" t="s">
        <v>8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>
        <v>1739.8</v>
      </c>
      <c r="AO11" s="25">
        <v>2088.8</v>
      </c>
      <c r="AP11" s="25">
        <v>4218.4</v>
      </c>
      <c r="AQ11" s="25">
        <v>3022.3</v>
      </c>
      <c r="AR11" s="25">
        <v>933.9</v>
      </c>
      <c r="AS11" s="25">
        <v>-1216.2</v>
      </c>
      <c r="AT11" s="25">
        <v>-1733.0</v>
      </c>
      <c r="AU11" s="25">
        <v>-1754.3</v>
      </c>
      <c r="AV11" s="25">
        <v>3512.4</v>
      </c>
      <c r="AW11" s="25">
        <v>2527.4</v>
      </c>
      <c r="AX11" s="25">
        <v>18.8</v>
      </c>
      <c r="AY11" s="25">
        <v>-3510.9</v>
      </c>
      <c r="AZ11" s="25">
        <v>-3343.3</v>
      </c>
      <c r="BA11" s="25">
        <v>-3065.2</v>
      </c>
      <c r="BB11" s="25">
        <v>-2842.39</v>
      </c>
      <c r="BC11" s="25">
        <v>-6660.11</v>
      </c>
      <c r="BD11" s="25">
        <v>-15754.34</v>
      </c>
      <c r="BE11" s="25"/>
    </row>
    <row r="12" ht="15.75" customHeight="1">
      <c r="A12" s="24" t="s">
        <v>14</v>
      </c>
      <c r="B12" s="24" t="s">
        <v>8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>
        <v>2263.7</v>
      </c>
      <c r="AO12" s="25">
        <v>2701.0</v>
      </c>
      <c r="AP12" s="25">
        <v>3079.9</v>
      </c>
      <c r="AQ12" s="25">
        <v>3707.1</v>
      </c>
      <c r="AR12" s="25">
        <v>4512.0</v>
      </c>
      <c r="AS12" s="25">
        <v>7527.6</v>
      </c>
      <c r="AT12" s="25">
        <v>8981.1</v>
      </c>
      <c r="AU12" s="25">
        <v>8092.7</v>
      </c>
      <c r="AV12" s="25">
        <v>8680.5</v>
      </c>
      <c r="AW12" s="25">
        <v>8729.6</v>
      </c>
      <c r="AX12" s="25">
        <v>11287.6</v>
      </c>
      <c r="AY12" s="25">
        <v>14385.8</v>
      </c>
      <c r="AZ12" s="25">
        <v>16588.4</v>
      </c>
      <c r="BA12" s="25">
        <v>17986.4</v>
      </c>
      <c r="BB12" s="25">
        <v>19129.68</v>
      </c>
      <c r="BC12" s="25">
        <v>21312.55</v>
      </c>
      <c r="BD12" s="25">
        <v>27988.14</v>
      </c>
      <c r="BE12" s="25"/>
    </row>
    <row r="13" ht="15.75" customHeight="1">
      <c r="A13" s="24" t="s">
        <v>15</v>
      </c>
      <c r="B13" s="24" t="s">
        <v>8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9"/>
      <c r="N13" s="39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>
        <v>1668.5</v>
      </c>
      <c r="AO13" s="25">
        <v>600.3</v>
      </c>
      <c r="AP13" s="25">
        <v>1091.3</v>
      </c>
      <c r="AQ13" s="25">
        <v>1205.7</v>
      </c>
      <c r="AR13" s="25">
        <v>403.8</v>
      </c>
      <c r="AS13" s="25">
        <v>420.5</v>
      </c>
      <c r="AT13" s="25">
        <v>235.0</v>
      </c>
      <c r="AU13" s="25">
        <v>-1258.6</v>
      </c>
      <c r="AV13" s="25">
        <v>499.1</v>
      </c>
      <c r="AW13" s="25">
        <v>379.2</v>
      </c>
      <c r="AX13" s="25">
        <v>546.4</v>
      </c>
      <c r="AY13" s="25">
        <v>160.3</v>
      </c>
      <c r="AZ13" s="25">
        <v>358.0</v>
      </c>
      <c r="BA13" s="25">
        <v>209.3</v>
      </c>
      <c r="BB13" s="25">
        <v>543.53</v>
      </c>
      <c r="BC13" s="25">
        <v>82.93</v>
      </c>
      <c r="BD13" s="25">
        <v>49.85</v>
      </c>
      <c r="BE13" s="25"/>
    </row>
    <row r="14" ht="15.75" customHeight="1">
      <c r="A14" s="60" t="s">
        <v>16</v>
      </c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</row>
    <row r="15" ht="15.75" customHeight="1">
      <c r="A15" s="24" t="s">
        <v>17</v>
      </c>
      <c r="B15" s="24" t="s">
        <v>18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41"/>
      <c r="AM15" s="41"/>
      <c r="AN15" s="41"/>
      <c r="AO15" s="41"/>
      <c r="AP15" s="41"/>
      <c r="AQ15" s="35">
        <v>6.64</v>
      </c>
      <c r="AR15" s="35">
        <v>2.22</v>
      </c>
      <c r="AS15" s="35">
        <v>2.01</v>
      </c>
      <c r="AT15" s="35">
        <v>0.85</v>
      </c>
      <c r="AU15" s="35">
        <v>-4.56</v>
      </c>
      <c r="AV15" s="35">
        <v>1.64</v>
      </c>
      <c r="AW15" s="35">
        <v>1.01</v>
      </c>
      <c r="AX15" s="41"/>
      <c r="AY15" s="41"/>
      <c r="AZ15" s="35">
        <v>0.77</v>
      </c>
      <c r="BA15" s="35">
        <v>0.45</v>
      </c>
      <c r="BB15" s="35">
        <v>1.17</v>
      </c>
      <c r="BC15" s="35">
        <v>0.17</v>
      </c>
      <c r="BD15" s="35">
        <v>0.1</v>
      </c>
      <c r="BE15" s="41"/>
    </row>
    <row r="16" ht="15.75" customHeight="1">
      <c r="A16" s="24" t="s">
        <v>19</v>
      </c>
      <c r="B16" s="24" t="s">
        <v>20</v>
      </c>
      <c r="C16" s="38" t="str">
        <f t="shared" ref="C16:BE16" si="2">IF(OR(C13="",C6="",C6=0),"",C13/C6)</f>
        <v/>
      </c>
      <c r="D16" s="38" t="str">
        <f t="shared" si="2"/>
        <v/>
      </c>
      <c r="E16" s="38" t="str">
        <f t="shared" si="2"/>
        <v/>
      </c>
      <c r="F16" s="38" t="str">
        <f t="shared" si="2"/>
        <v/>
      </c>
      <c r="G16" s="38" t="str">
        <f t="shared" si="2"/>
        <v/>
      </c>
      <c r="H16" s="38" t="str">
        <f t="shared" si="2"/>
        <v/>
      </c>
      <c r="I16" s="38" t="str">
        <f t="shared" si="2"/>
        <v/>
      </c>
      <c r="J16" s="38" t="str">
        <f t="shared" si="2"/>
        <v/>
      </c>
      <c r="K16" s="38" t="str">
        <f t="shared" si="2"/>
        <v/>
      </c>
      <c r="L16" s="38" t="str">
        <f t="shared" si="2"/>
        <v/>
      </c>
      <c r="M16" s="38" t="str">
        <f t="shared" si="2"/>
        <v/>
      </c>
      <c r="N16" s="38" t="str">
        <f t="shared" si="2"/>
        <v/>
      </c>
      <c r="O16" s="38" t="str">
        <f t="shared" si="2"/>
        <v/>
      </c>
      <c r="P16" s="38" t="str">
        <f t="shared" si="2"/>
        <v/>
      </c>
      <c r="Q16" s="38" t="str">
        <f t="shared" si="2"/>
        <v/>
      </c>
      <c r="R16" s="38" t="str">
        <f t="shared" si="2"/>
        <v/>
      </c>
      <c r="S16" s="38" t="str">
        <f t="shared" si="2"/>
        <v/>
      </c>
      <c r="T16" s="38" t="str">
        <f t="shared" si="2"/>
        <v/>
      </c>
      <c r="U16" s="38" t="str">
        <f t="shared" si="2"/>
        <v/>
      </c>
      <c r="V16" s="38" t="str">
        <f t="shared" si="2"/>
        <v/>
      </c>
      <c r="W16" s="38" t="str">
        <f t="shared" si="2"/>
        <v/>
      </c>
      <c r="X16" s="38" t="str">
        <f t="shared" si="2"/>
        <v/>
      </c>
      <c r="Y16" s="38" t="str">
        <f t="shared" si="2"/>
        <v/>
      </c>
      <c r="Z16" s="38" t="str">
        <f t="shared" si="2"/>
        <v/>
      </c>
      <c r="AA16" s="38" t="str">
        <f t="shared" si="2"/>
        <v/>
      </c>
      <c r="AB16" s="38" t="str">
        <f t="shared" si="2"/>
        <v/>
      </c>
      <c r="AC16" s="38" t="str">
        <f t="shared" si="2"/>
        <v/>
      </c>
      <c r="AD16" s="38" t="str">
        <f t="shared" si="2"/>
        <v/>
      </c>
      <c r="AE16" s="38" t="str">
        <f t="shared" si="2"/>
        <v/>
      </c>
      <c r="AF16" s="38" t="str">
        <f t="shared" si="2"/>
        <v/>
      </c>
      <c r="AG16" s="38" t="str">
        <f t="shared" si="2"/>
        <v/>
      </c>
      <c r="AH16" s="38" t="str">
        <f t="shared" si="2"/>
        <v/>
      </c>
      <c r="AI16" s="38" t="str">
        <f t="shared" si="2"/>
        <v/>
      </c>
      <c r="AJ16" s="38" t="str">
        <f t="shared" si="2"/>
        <v/>
      </c>
      <c r="AK16" s="38" t="str">
        <f t="shared" si="2"/>
        <v/>
      </c>
      <c r="AL16" s="38" t="str">
        <f t="shared" si="2"/>
        <v/>
      </c>
      <c r="AM16" s="38" t="str">
        <f t="shared" si="2"/>
        <v/>
      </c>
      <c r="AN16" s="38">
        <f t="shared" si="2"/>
        <v>0.01900527842</v>
      </c>
      <c r="AO16" s="38">
        <f t="shared" si="2"/>
        <v>0.004824224793</v>
      </c>
      <c r="AP16" s="38">
        <f t="shared" si="2"/>
        <v>0.007630225285</v>
      </c>
      <c r="AQ16" s="38">
        <f t="shared" si="2"/>
        <v>0.006969642142</v>
      </c>
      <c r="AR16" s="38">
        <f t="shared" si="2"/>
        <v>0.001867837758</v>
      </c>
      <c r="AS16" s="38">
        <f t="shared" si="2"/>
        <v>0.001568570985</v>
      </c>
      <c r="AT16" s="38">
        <f t="shared" si="2"/>
        <v>0.0007819003706</v>
      </c>
      <c r="AU16" s="38">
        <f t="shared" si="2"/>
        <v>-0.003767039749</v>
      </c>
      <c r="AV16" s="38">
        <f t="shared" si="2"/>
        <v>0.001305143011</v>
      </c>
      <c r="AW16" s="38">
        <f t="shared" si="2"/>
        <v>0.0008184941693</v>
      </c>
      <c r="AX16" s="38">
        <f t="shared" si="2"/>
        <v>0.001098845187</v>
      </c>
      <c r="AY16" s="38">
        <f t="shared" si="2"/>
        <v>0.0002542234315</v>
      </c>
      <c r="AZ16" s="38">
        <f t="shared" si="2"/>
        <v>0.0005381451729</v>
      </c>
      <c r="BA16" s="38">
        <f t="shared" si="2"/>
        <v>0.0003047789574</v>
      </c>
      <c r="BB16" s="38">
        <f t="shared" si="2"/>
        <v>0.0006851488229</v>
      </c>
      <c r="BC16" s="38">
        <f t="shared" si="2"/>
        <v>0.0001028142223</v>
      </c>
      <c r="BD16" s="38">
        <f t="shared" si="2"/>
        <v>0.00005890442403</v>
      </c>
      <c r="BE16" s="38" t="str">
        <f t="shared" si="2"/>
        <v/>
      </c>
    </row>
    <row r="17" ht="15.75" customHeight="1">
      <c r="A17" s="24" t="s">
        <v>21</v>
      </c>
      <c r="B17" s="24" t="s">
        <v>20</v>
      </c>
      <c r="C17" s="38" t="str">
        <f t="shared" ref="C17:BE17" si="3">IF(OR(C13="",C9="",C9=0),"",C13/C9)</f>
        <v/>
      </c>
      <c r="D17" s="38" t="str">
        <f t="shared" si="3"/>
        <v/>
      </c>
      <c r="E17" s="38" t="str">
        <f t="shared" si="3"/>
        <v/>
      </c>
      <c r="F17" s="38" t="str">
        <f t="shared" si="3"/>
        <v/>
      </c>
      <c r="G17" s="38" t="str">
        <f t="shared" si="3"/>
        <v/>
      </c>
      <c r="H17" s="38" t="str">
        <f t="shared" si="3"/>
        <v/>
      </c>
      <c r="I17" s="38" t="str">
        <f t="shared" si="3"/>
        <v/>
      </c>
      <c r="J17" s="38" t="str">
        <f t="shared" si="3"/>
        <v/>
      </c>
      <c r="K17" s="38" t="str">
        <f t="shared" si="3"/>
        <v/>
      </c>
      <c r="L17" s="38" t="str">
        <f t="shared" si="3"/>
        <v/>
      </c>
      <c r="M17" s="38" t="str">
        <f t="shared" si="3"/>
        <v/>
      </c>
      <c r="N17" s="38" t="str">
        <f t="shared" si="3"/>
        <v/>
      </c>
      <c r="O17" s="38" t="str">
        <f t="shared" si="3"/>
        <v/>
      </c>
      <c r="P17" s="38" t="str">
        <f t="shared" si="3"/>
        <v/>
      </c>
      <c r="Q17" s="38" t="str">
        <f t="shared" si="3"/>
        <v/>
      </c>
      <c r="R17" s="38" t="str">
        <f t="shared" si="3"/>
        <v/>
      </c>
      <c r="S17" s="38" t="str">
        <f t="shared" si="3"/>
        <v/>
      </c>
      <c r="T17" s="38" t="str">
        <f t="shared" si="3"/>
        <v/>
      </c>
      <c r="U17" s="38" t="str">
        <f t="shared" si="3"/>
        <v/>
      </c>
      <c r="V17" s="38" t="str">
        <f t="shared" si="3"/>
        <v/>
      </c>
      <c r="W17" s="38" t="str">
        <f t="shared" si="3"/>
        <v/>
      </c>
      <c r="X17" s="38" t="str">
        <f t="shared" si="3"/>
        <v/>
      </c>
      <c r="Y17" s="38" t="str">
        <f t="shared" si="3"/>
        <v/>
      </c>
      <c r="Z17" s="38" t="str">
        <f t="shared" si="3"/>
        <v/>
      </c>
      <c r="AA17" s="38" t="str">
        <f t="shared" si="3"/>
        <v/>
      </c>
      <c r="AB17" s="38" t="str">
        <f t="shared" si="3"/>
        <v/>
      </c>
      <c r="AC17" s="38" t="str">
        <f t="shared" si="3"/>
        <v/>
      </c>
      <c r="AD17" s="38" t="str">
        <f t="shared" si="3"/>
        <v/>
      </c>
      <c r="AE17" s="38" t="str">
        <f t="shared" si="3"/>
        <v/>
      </c>
      <c r="AF17" s="38" t="str">
        <f t="shared" si="3"/>
        <v/>
      </c>
      <c r="AG17" s="38" t="str">
        <f t="shared" si="3"/>
        <v/>
      </c>
      <c r="AH17" s="38" t="str">
        <f t="shared" si="3"/>
        <v/>
      </c>
      <c r="AI17" s="38" t="str">
        <f t="shared" si="3"/>
        <v/>
      </c>
      <c r="AJ17" s="38" t="str">
        <f t="shared" si="3"/>
        <v/>
      </c>
      <c r="AK17" s="38" t="str">
        <f t="shared" si="3"/>
        <v/>
      </c>
      <c r="AL17" s="38" t="str">
        <f t="shared" si="3"/>
        <v/>
      </c>
      <c r="AM17" s="38" t="str">
        <f t="shared" si="3"/>
        <v/>
      </c>
      <c r="AN17" s="38">
        <f t="shared" si="3"/>
        <v>-0.2989179118</v>
      </c>
      <c r="AO17" s="38">
        <f t="shared" si="3"/>
        <v>0.0424195315</v>
      </c>
      <c r="AP17" s="38">
        <f t="shared" si="3"/>
        <v>0.08121121017</v>
      </c>
      <c r="AQ17" s="38">
        <f t="shared" si="3"/>
        <v>0.1034429507</v>
      </c>
      <c r="AR17" s="38">
        <f t="shared" si="3"/>
        <v>0.03416330364</v>
      </c>
      <c r="AS17" s="38">
        <f t="shared" si="3"/>
        <v>0.02846120004</v>
      </c>
      <c r="AT17" s="38">
        <f t="shared" si="3"/>
        <v>0.01849447133</v>
      </c>
      <c r="AU17" s="38">
        <f t="shared" si="3"/>
        <v>-0.107975018</v>
      </c>
      <c r="AV17" s="38">
        <f t="shared" si="3"/>
        <v>0.03760633528</v>
      </c>
      <c r="AW17" s="38">
        <f t="shared" si="3"/>
        <v>0.02220543541</v>
      </c>
      <c r="AX17" s="38">
        <f t="shared" si="3"/>
        <v>0.0323773406</v>
      </c>
      <c r="AY17" s="38">
        <f t="shared" si="3"/>
        <v>0.008880492831</v>
      </c>
      <c r="AZ17" s="38">
        <f t="shared" si="3"/>
        <v>0.02118155193</v>
      </c>
      <c r="BA17" s="38">
        <f t="shared" si="3"/>
        <v>0.0128038075</v>
      </c>
      <c r="BB17" s="38">
        <f t="shared" si="3"/>
        <v>0.03267918448</v>
      </c>
      <c r="BC17" s="38">
        <f t="shared" si="3"/>
        <v>0.005020784218</v>
      </c>
      <c r="BD17" s="38">
        <f t="shared" si="3"/>
        <v>0.002996915311</v>
      </c>
      <c r="BE17" s="38" t="str">
        <f t="shared" si="3"/>
        <v/>
      </c>
    </row>
    <row r="18" ht="15.75" customHeight="1">
      <c r="A18" s="60" t="s">
        <v>22</v>
      </c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</row>
    <row r="19" ht="15.75" customHeight="1">
      <c r="A19" s="24" t="s">
        <v>23</v>
      </c>
      <c r="B19" s="24" t="s">
        <v>20</v>
      </c>
      <c r="C19" s="38" t="str">
        <f t="shared" ref="C19:BE19" si="4">IF(OR(C20="",C7="",C7=0),"",C20/C7)</f>
        <v/>
      </c>
      <c r="D19" s="38" t="str">
        <f t="shared" si="4"/>
        <v/>
      </c>
      <c r="E19" s="38" t="str">
        <f t="shared" si="4"/>
        <v/>
      </c>
      <c r="F19" s="38" t="str">
        <f t="shared" si="4"/>
        <v/>
      </c>
      <c r="G19" s="38" t="str">
        <f t="shared" si="4"/>
        <v/>
      </c>
      <c r="H19" s="38" t="str">
        <f t="shared" si="4"/>
        <v/>
      </c>
      <c r="I19" s="38" t="str">
        <f t="shared" si="4"/>
        <v/>
      </c>
      <c r="J19" s="38" t="str">
        <f t="shared" si="4"/>
        <v/>
      </c>
      <c r="K19" s="38" t="str">
        <f t="shared" si="4"/>
        <v/>
      </c>
      <c r="L19" s="38" t="str">
        <f t="shared" si="4"/>
        <v/>
      </c>
      <c r="M19" s="38" t="str">
        <f t="shared" si="4"/>
        <v/>
      </c>
      <c r="N19" s="38" t="str">
        <f t="shared" si="4"/>
        <v/>
      </c>
      <c r="O19" s="38" t="str">
        <f t="shared" si="4"/>
        <v/>
      </c>
      <c r="P19" s="38" t="str">
        <f t="shared" si="4"/>
        <v/>
      </c>
      <c r="Q19" s="38" t="str">
        <f t="shared" si="4"/>
        <v/>
      </c>
      <c r="R19" s="38" t="str">
        <f t="shared" si="4"/>
        <v/>
      </c>
      <c r="S19" s="38" t="str">
        <f t="shared" si="4"/>
        <v/>
      </c>
      <c r="T19" s="38" t="str">
        <f t="shared" si="4"/>
        <v/>
      </c>
      <c r="U19" s="38" t="str">
        <f t="shared" si="4"/>
        <v/>
      </c>
      <c r="V19" s="38" t="str">
        <f t="shared" si="4"/>
        <v/>
      </c>
      <c r="W19" s="38" t="str">
        <f t="shared" si="4"/>
        <v/>
      </c>
      <c r="X19" s="38" t="str">
        <f t="shared" si="4"/>
        <v/>
      </c>
      <c r="Y19" s="38" t="str">
        <f t="shared" si="4"/>
        <v/>
      </c>
      <c r="Z19" s="38" t="str">
        <f t="shared" si="4"/>
        <v/>
      </c>
      <c r="AA19" s="38" t="str">
        <f t="shared" si="4"/>
        <v/>
      </c>
      <c r="AB19" s="38" t="str">
        <f t="shared" si="4"/>
        <v/>
      </c>
      <c r="AC19" s="38" t="str">
        <f t="shared" si="4"/>
        <v/>
      </c>
      <c r="AD19" s="38" t="str">
        <f t="shared" si="4"/>
        <v/>
      </c>
      <c r="AE19" s="38" t="str">
        <f t="shared" si="4"/>
        <v/>
      </c>
      <c r="AF19" s="38" t="str">
        <f t="shared" si="4"/>
        <v/>
      </c>
      <c r="AG19" s="38" t="str">
        <f t="shared" si="4"/>
        <v/>
      </c>
      <c r="AH19" s="38" t="str">
        <f t="shared" si="4"/>
        <v/>
      </c>
      <c r="AI19" s="38" t="str">
        <f t="shared" si="4"/>
        <v/>
      </c>
      <c r="AJ19" s="38" t="str">
        <f t="shared" si="4"/>
        <v/>
      </c>
      <c r="AK19" s="38" t="str">
        <f t="shared" si="4"/>
        <v/>
      </c>
      <c r="AL19" s="38" t="str">
        <f t="shared" si="4"/>
        <v/>
      </c>
      <c r="AM19" s="38" t="str">
        <f t="shared" si="4"/>
        <v/>
      </c>
      <c r="AN19" s="38" t="str">
        <f t="shared" si="4"/>
        <v/>
      </c>
      <c r="AO19" s="38" t="str">
        <f t="shared" si="4"/>
        <v/>
      </c>
      <c r="AP19" s="38" t="str">
        <f t="shared" si="4"/>
        <v/>
      </c>
      <c r="AQ19" s="38">
        <f t="shared" si="4"/>
        <v>0.2496413347</v>
      </c>
      <c r="AR19" s="38">
        <f t="shared" si="4"/>
        <v>0.167487012</v>
      </c>
      <c r="AS19" s="38">
        <f t="shared" si="4"/>
        <v>0.121542172</v>
      </c>
      <c r="AT19" s="38">
        <f t="shared" si="4"/>
        <v>0.1643169491</v>
      </c>
      <c r="AU19" s="38">
        <f t="shared" si="4"/>
        <v>0.198963291</v>
      </c>
      <c r="AV19" s="38">
        <f t="shared" si="4"/>
        <v>0.2217059631</v>
      </c>
      <c r="AW19" s="38">
        <f t="shared" si="4"/>
        <v>0.1789504329</v>
      </c>
      <c r="AX19" s="38" t="str">
        <f t="shared" si="4"/>
        <v/>
      </c>
      <c r="AY19" s="38">
        <f t="shared" si="4"/>
        <v>0.1179338145</v>
      </c>
      <c r="AZ19" s="38">
        <f t="shared" si="4"/>
        <v>0.1750498971</v>
      </c>
      <c r="BA19" s="38">
        <f t="shared" si="4"/>
        <v>0.2118683521</v>
      </c>
      <c r="BB19" s="38">
        <f t="shared" si="4"/>
        <v>0.210296181</v>
      </c>
      <c r="BC19" s="38">
        <f t="shared" si="4"/>
        <v>0.4159892028</v>
      </c>
      <c r="BD19" s="38">
        <f t="shared" si="4"/>
        <v>0.3905165481</v>
      </c>
      <c r="BE19" s="38" t="str">
        <f t="shared" si="4"/>
        <v/>
      </c>
    </row>
    <row r="20" ht="15.75" customHeight="1">
      <c r="A20" s="24" t="s">
        <v>24</v>
      </c>
      <c r="B20" s="24" t="s">
        <v>8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25">
        <v>22627.89</v>
      </c>
      <c r="AR20" s="25">
        <v>17992.51</v>
      </c>
      <c r="AS20" s="25">
        <v>15194.23</v>
      </c>
      <c r="AT20" s="25">
        <v>23417.63</v>
      </c>
      <c r="AU20" s="25">
        <v>34848.5</v>
      </c>
      <c r="AV20" s="25">
        <v>45820.57</v>
      </c>
      <c r="AW20" s="25">
        <v>44288.55</v>
      </c>
      <c r="AX20" s="37"/>
      <c r="AY20" s="25">
        <v>39724.26</v>
      </c>
      <c r="AZ20" s="25">
        <v>66664.9</v>
      </c>
      <c r="BA20" s="25">
        <v>92247.65</v>
      </c>
      <c r="BB20" s="25">
        <v>100437.7</v>
      </c>
      <c r="BC20" s="25">
        <v>213578.1</v>
      </c>
      <c r="BD20" s="25">
        <v>200150.31</v>
      </c>
      <c r="BE20" s="41"/>
    </row>
    <row r="21" ht="15.75" customHeight="1">
      <c r="A21" s="24" t="s">
        <v>25</v>
      </c>
      <c r="B21" s="24" t="s">
        <v>20</v>
      </c>
      <c r="C21" s="38" t="str">
        <f t="shared" ref="C21:BE21" si="5">IF(OR(C33="",C20="",C20=0),"",C33/C20)</f>
        <v/>
      </c>
      <c r="D21" s="38" t="str">
        <f t="shared" si="5"/>
        <v/>
      </c>
      <c r="E21" s="38" t="str">
        <f t="shared" si="5"/>
        <v/>
      </c>
      <c r="F21" s="38" t="str">
        <f t="shared" si="5"/>
        <v/>
      </c>
      <c r="G21" s="38" t="str">
        <f t="shared" si="5"/>
        <v/>
      </c>
      <c r="H21" s="38" t="str">
        <f t="shared" si="5"/>
        <v/>
      </c>
      <c r="I21" s="38" t="str">
        <f t="shared" si="5"/>
        <v/>
      </c>
      <c r="J21" s="38" t="str">
        <f t="shared" si="5"/>
        <v/>
      </c>
      <c r="K21" s="38" t="str">
        <f t="shared" si="5"/>
        <v/>
      </c>
      <c r="L21" s="38" t="str">
        <f t="shared" si="5"/>
        <v/>
      </c>
      <c r="M21" s="38" t="str">
        <f t="shared" si="5"/>
        <v/>
      </c>
      <c r="N21" s="38" t="str">
        <f t="shared" si="5"/>
        <v/>
      </c>
      <c r="O21" s="38" t="str">
        <f t="shared" si="5"/>
        <v/>
      </c>
      <c r="P21" s="38" t="str">
        <f t="shared" si="5"/>
        <v/>
      </c>
      <c r="Q21" s="38" t="str">
        <f t="shared" si="5"/>
        <v/>
      </c>
      <c r="R21" s="38" t="str">
        <f t="shared" si="5"/>
        <v/>
      </c>
      <c r="S21" s="38" t="str">
        <f t="shared" si="5"/>
        <v/>
      </c>
      <c r="T21" s="38" t="str">
        <f t="shared" si="5"/>
        <v/>
      </c>
      <c r="U21" s="38" t="str">
        <f t="shared" si="5"/>
        <v/>
      </c>
      <c r="V21" s="38" t="str">
        <f t="shared" si="5"/>
        <v/>
      </c>
      <c r="W21" s="38" t="str">
        <f t="shared" si="5"/>
        <v/>
      </c>
      <c r="X21" s="38" t="str">
        <f t="shared" si="5"/>
        <v/>
      </c>
      <c r="Y21" s="38" t="str">
        <f t="shared" si="5"/>
        <v/>
      </c>
      <c r="Z21" s="38" t="str">
        <f t="shared" si="5"/>
        <v/>
      </c>
      <c r="AA21" s="38" t="str">
        <f t="shared" si="5"/>
        <v/>
      </c>
      <c r="AB21" s="38" t="str">
        <f t="shared" si="5"/>
        <v/>
      </c>
      <c r="AC21" s="38" t="str">
        <f t="shared" si="5"/>
        <v/>
      </c>
      <c r="AD21" s="38" t="str">
        <f t="shared" si="5"/>
        <v/>
      </c>
      <c r="AE21" s="38" t="str">
        <f t="shared" si="5"/>
        <v/>
      </c>
      <c r="AF21" s="38" t="str">
        <f t="shared" si="5"/>
        <v/>
      </c>
      <c r="AG21" s="38" t="str">
        <f t="shared" si="5"/>
        <v/>
      </c>
      <c r="AH21" s="38" t="str">
        <f t="shared" si="5"/>
        <v/>
      </c>
      <c r="AI21" s="38" t="str">
        <f t="shared" si="5"/>
        <v/>
      </c>
      <c r="AJ21" s="38" t="str">
        <f t="shared" si="5"/>
        <v/>
      </c>
      <c r="AK21" s="38" t="str">
        <f t="shared" si="5"/>
        <v/>
      </c>
      <c r="AL21" s="38" t="str">
        <f t="shared" si="5"/>
        <v/>
      </c>
      <c r="AM21" s="38" t="str">
        <f t="shared" si="5"/>
        <v/>
      </c>
      <c r="AN21" s="38" t="str">
        <f t="shared" si="5"/>
        <v/>
      </c>
      <c r="AO21" s="38" t="str">
        <f t="shared" si="5"/>
        <v/>
      </c>
      <c r="AP21" s="38" t="str">
        <f t="shared" si="5"/>
        <v/>
      </c>
      <c r="AQ21" s="38">
        <f t="shared" si="5"/>
        <v>0.2813983098</v>
      </c>
      <c r="AR21" s="38">
        <f t="shared" si="5"/>
        <v>0.3834495576</v>
      </c>
      <c r="AS21" s="38">
        <f t="shared" si="5"/>
        <v>0.5778239503</v>
      </c>
      <c r="AT21" s="38">
        <f t="shared" si="5"/>
        <v>0.4079247131</v>
      </c>
      <c r="AU21" s="38">
        <f t="shared" si="5"/>
        <v>0.2873136577</v>
      </c>
      <c r="AV21" s="38">
        <f t="shared" si="5"/>
        <v>0.2837670941</v>
      </c>
      <c r="AW21" s="38">
        <f t="shared" si="5"/>
        <v>0.3292871408</v>
      </c>
      <c r="AX21" s="38" t="str">
        <f t="shared" si="5"/>
        <v/>
      </c>
      <c r="AY21" s="38" t="str">
        <f t="shared" si="5"/>
        <v/>
      </c>
      <c r="AZ21" s="38">
        <f t="shared" si="5"/>
        <v>0.2503104332</v>
      </c>
      <c r="BA21" s="38">
        <f t="shared" si="5"/>
        <v>0.1825003672</v>
      </c>
      <c r="BB21" s="38">
        <f t="shared" si="5"/>
        <v>0.1984787585</v>
      </c>
      <c r="BC21" s="38">
        <f t="shared" si="5"/>
        <v>0.08485322231</v>
      </c>
      <c r="BD21" s="38">
        <f t="shared" si="5"/>
        <v>0.09053640736</v>
      </c>
      <c r="BE21" s="38" t="str">
        <f t="shared" si="5"/>
        <v/>
      </c>
    </row>
    <row r="22" ht="15.75" customHeight="1">
      <c r="A22" s="24" t="s">
        <v>26</v>
      </c>
      <c r="B22" s="24" t="s">
        <v>20</v>
      </c>
      <c r="C22" s="38">
        <f t="shared" ref="C22:BE22" si="6">IF(OR(C7="",C8="",C8=0),"",C7/C8)</f>
        <v>0.8445653914</v>
      </c>
      <c r="D22" s="38">
        <f t="shared" si="6"/>
        <v>0.7467481934</v>
      </c>
      <c r="E22" s="38">
        <f t="shared" si="6"/>
        <v>0.6912337354</v>
      </c>
      <c r="F22" s="38">
        <f t="shared" si="6"/>
        <v>0.7358558559</v>
      </c>
      <c r="G22" s="38">
        <f t="shared" si="6"/>
        <v>0.7212883071</v>
      </c>
      <c r="H22" s="38">
        <f t="shared" si="6"/>
        <v>0.6991041433</v>
      </c>
      <c r="I22" s="38">
        <f t="shared" si="6"/>
        <v>0.7042477173</v>
      </c>
      <c r="J22" s="38">
        <f t="shared" si="6"/>
        <v>0.7667821268</v>
      </c>
      <c r="K22" s="38">
        <f t="shared" si="6"/>
        <v>0.7963278652</v>
      </c>
      <c r="L22" s="38">
        <f t="shared" si="6"/>
        <v>0.8209300571</v>
      </c>
      <c r="M22" s="38">
        <f t="shared" si="6"/>
        <v>0.7456136484</v>
      </c>
      <c r="N22" s="38">
        <f t="shared" si="6"/>
        <v>0.6535060466</v>
      </c>
      <c r="O22" s="38">
        <f t="shared" si="6"/>
        <v>1.355792933</v>
      </c>
      <c r="P22" s="38">
        <f t="shared" si="6"/>
        <v>0.7259592048</v>
      </c>
      <c r="Q22" s="38">
        <f t="shared" si="6"/>
        <v>0.6578552633</v>
      </c>
      <c r="R22" s="38">
        <f t="shared" si="6"/>
        <v>0.6652299784</v>
      </c>
      <c r="S22" s="38">
        <f t="shared" si="6"/>
        <v>0.6770524038</v>
      </c>
      <c r="T22" s="38">
        <f t="shared" si="6"/>
        <v>0.7335513023</v>
      </c>
      <c r="U22" s="38">
        <f t="shared" si="6"/>
        <v>0.6539370891</v>
      </c>
      <c r="V22" s="38">
        <f t="shared" si="6"/>
        <v>0.6121578759</v>
      </c>
      <c r="W22" s="38">
        <f t="shared" si="6"/>
        <v>0.5342542261</v>
      </c>
      <c r="X22" s="38">
        <f t="shared" si="6"/>
        <v>0.5653420913</v>
      </c>
      <c r="Y22" s="38">
        <f t="shared" si="6"/>
        <v>0.5529696849</v>
      </c>
      <c r="Z22" s="38">
        <f t="shared" si="6"/>
        <v>0.5313874114</v>
      </c>
      <c r="AA22" s="38">
        <f t="shared" si="6"/>
        <v>0.5336665958</v>
      </c>
      <c r="AB22" s="38" t="str">
        <f t="shared" si="6"/>
        <v/>
      </c>
      <c r="AC22" s="38" t="str">
        <f t="shared" si="6"/>
        <v/>
      </c>
      <c r="AD22" s="38" t="str">
        <f t="shared" si="6"/>
        <v/>
      </c>
      <c r="AE22" s="38" t="str">
        <f t="shared" si="6"/>
        <v/>
      </c>
      <c r="AF22" s="38" t="str">
        <f t="shared" si="6"/>
        <v/>
      </c>
      <c r="AG22" s="38" t="str">
        <f t="shared" si="6"/>
        <v/>
      </c>
      <c r="AH22" s="38" t="str">
        <f t="shared" si="6"/>
        <v/>
      </c>
      <c r="AI22" s="38" t="str">
        <f t="shared" si="6"/>
        <v/>
      </c>
      <c r="AJ22" s="38" t="str">
        <f t="shared" si="6"/>
        <v/>
      </c>
      <c r="AK22" s="38" t="str">
        <f t="shared" si="6"/>
        <v/>
      </c>
      <c r="AL22" s="38" t="str">
        <f t="shared" si="6"/>
        <v/>
      </c>
      <c r="AM22" s="38">
        <f t="shared" si="6"/>
        <v>0.6976380194</v>
      </c>
      <c r="AN22" s="38">
        <f t="shared" si="6"/>
        <v>0.7092383278</v>
      </c>
      <c r="AO22" s="38">
        <f t="shared" si="6"/>
        <v>0.7248271033</v>
      </c>
      <c r="AP22" s="38">
        <f t="shared" si="6"/>
        <v>0.7136253427</v>
      </c>
      <c r="AQ22" s="38">
        <f t="shared" si="6"/>
        <v>0.6635607341</v>
      </c>
      <c r="AR22" s="38">
        <f t="shared" si="6"/>
        <v>0.603668439</v>
      </c>
      <c r="AS22" s="38">
        <f t="shared" si="6"/>
        <v>0.5639890136</v>
      </c>
      <c r="AT22" s="38">
        <f t="shared" si="6"/>
        <v>0.5614593412</v>
      </c>
      <c r="AU22" s="38">
        <f t="shared" si="6"/>
        <v>0.6275183078</v>
      </c>
      <c r="AV22" s="38">
        <f t="shared" si="6"/>
        <v>0.6468880169</v>
      </c>
      <c r="AW22" s="38">
        <f t="shared" si="6"/>
        <v>0.6353251641</v>
      </c>
      <c r="AX22" s="38">
        <f t="shared" si="6"/>
        <v>0.7397636849</v>
      </c>
      <c r="AY22" s="38">
        <f t="shared" si="6"/>
        <v>0.6327921534</v>
      </c>
      <c r="AZ22" s="38">
        <f t="shared" si="6"/>
        <v>0.6606757171</v>
      </c>
      <c r="BA22" s="38">
        <f t="shared" si="6"/>
        <v>0.7396274826</v>
      </c>
      <c r="BB22" s="38">
        <f t="shared" si="6"/>
        <v>0.7157026274</v>
      </c>
      <c r="BC22" s="38">
        <f t="shared" si="6"/>
        <v>0.7485398746</v>
      </c>
      <c r="BD22" s="38">
        <f t="shared" si="6"/>
        <v>0.7112286296</v>
      </c>
      <c r="BE22" s="38" t="str">
        <f t="shared" si="6"/>
        <v/>
      </c>
    </row>
    <row r="23" ht="15.75" customHeight="1">
      <c r="A23" s="60" t="s">
        <v>27</v>
      </c>
      <c r="B23" s="61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</row>
    <row r="24" ht="15.75" customHeight="1">
      <c r="A24" s="24" t="s">
        <v>28</v>
      </c>
      <c r="B24" s="24" t="s">
        <v>20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40">
        <f>-712.68/8211.27</f>
        <v>-0.0867929078</v>
      </c>
      <c r="AO24" s="40">
        <f>1055.28/11140.17</f>
        <v>0.09472745928</v>
      </c>
      <c r="AP24" s="40">
        <f>1163.64/10451.82</f>
        <v>0.1113337199</v>
      </c>
      <c r="AQ24" s="40">
        <v>0.1011</v>
      </c>
      <c r="AR24" s="40">
        <v>0.1016</v>
      </c>
      <c r="AS24" s="40">
        <v>0.1043</v>
      </c>
      <c r="AT24" s="40">
        <v>0.0849</v>
      </c>
      <c r="AU24" s="40">
        <v>0.0669</v>
      </c>
      <c r="AV24" s="40">
        <v>0.0653</v>
      </c>
      <c r="AW24" s="40">
        <v>0.1002</v>
      </c>
      <c r="AX24" s="40">
        <f>2565.14/24817.64</f>
        <v>0.1033595459</v>
      </c>
      <c r="AY24" s="40">
        <f>2699.07/33717.39</f>
        <v>0.08004979033</v>
      </c>
      <c r="AZ24" s="40">
        <v>0.0556</v>
      </c>
      <c r="BA24" s="40">
        <v>0.0492</v>
      </c>
      <c r="BB24" s="40">
        <v>0.0528</v>
      </c>
      <c r="BC24" s="40">
        <v>0.0295</v>
      </c>
      <c r="BD24" s="40">
        <v>0.0293</v>
      </c>
      <c r="BE24" s="40"/>
    </row>
    <row r="25" ht="15.75" customHeight="1">
      <c r="A25" s="24" t="s">
        <v>29</v>
      </c>
      <c r="B25" s="24" t="s">
        <v>20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40">
        <f>(323.88+190.48)/(497.86+226.37)</f>
        <v>0.7102163677</v>
      </c>
      <c r="AO25" s="40">
        <f>(346.38+234.3)/(555.26+270.1)</f>
        <v>0.7035475429</v>
      </c>
      <c r="AP25" s="40">
        <f>(516.39+369.47)/(938.23+307.99)</f>
        <v>0.7108375728</v>
      </c>
      <c r="AQ25" s="40">
        <v>0.7617</v>
      </c>
      <c r="AR25" s="40">
        <v>0.8817</v>
      </c>
      <c r="AS25" s="40">
        <f>(1571.14+398.44)/(1449.52+752.76)</f>
        <v>0.8943367782</v>
      </c>
      <c r="AT25" s="40">
        <v>0.8971</v>
      </c>
      <c r="AU25" s="40">
        <v>1.0411</v>
      </c>
      <c r="AV25" s="40">
        <v>0.8004</v>
      </c>
      <c r="AW25" s="40">
        <v>0.8835</v>
      </c>
      <c r="AX25" s="40">
        <f>(1870.46+937.42)/(1872.34+1128.76)</f>
        <v>0.9356169405</v>
      </c>
      <c r="AY25" s="40">
        <f>(2299.51+927.82)/(1948.42+1438.58)</f>
        <v>0.9528579864</v>
      </c>
      <c r="AZ25" s="40">
        <v>0.9699</v>
      </c>
      <c r="BA25" s="40">
        <v>0.9747</v>
      </c>
      <c r="BB25" s="40">
        <v>0.8866</v>
      </c>
      <c r="BC25" s="40">
        <v>0.9425</v>
      </c>
      <c r="BD25" s="40">
        <v>0.982</v>
      </c>
      <c r="BE25" s="40"/>
    </row>
    <row r="26" ht="15.75" customHeight="1">
      <c r="A26" s="60" t="s">
        <v>30</v>
      </c>
      <c r="B26" s="61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</row>
    <row r="27" ht="15.75" customHeight="1">
      <c r="A27" s="24" t="s">
        <v>31</v>
      </c>
      <c r="B27" s="24" t="s">
        <v>20</v>
      </c>
      <c r="C27" s="38" t="str">
        <f t="shared" ref="C27:BE27" si="7">IF(OR(C20="",C6="",C6=0),"",C20/C6)</f>
        <v/>
      </c>
      <c r="D27" s="38" t="str">
        <f t="shared" si="7"/>
        <v/>
      </c>
      <c r="E27" s="38" t="str">
        <f t="shared" si="7"/>
        <v/>
      </c>
      <c r="F27" s="38" t="str">
        <f t="shared" si="7"/>
        <v/>
      </c>
      <c r="G27" s="38" t="str">
        <f t="shared" si="7"/>
        <v/>
      </c>
      <c r="H27" s="38" t="str">
        <f t="shared" si="7"/>
        <v/>
      </c>
      <c r="I27" s="38" t="str">
        <f t="shared" si="7"/>
        <v/>
      </c>
      <c r="J27" s="38" t="str">
        <f t="shared" si="7"/>
        <v/>
      </c>
      <c r="K27" s="38" t="str">
        <f t="shared" si="7"/>
        <v/>
      </c>
      <c r="L27" s="38" t="str">
        <f t="shared" si="7"/>
        <v/>
      </c>
      <c r="M27" s="38" t="str">
        <f t="shared" si="7"/>
        <v/>
      </c>
      <c r="N27" s="38" t="str">
        <f t="shared" si="7"/>
        <v/>
      </c>
      <c r="O27" s="38" t="str">
        <f t="shared" si="7"/>
        <v/>
      </c>
      <c r="P27" s="38" t="str">
        <f t="shared" si="7"/>
        <v/>
      </c>
      <c r="Q27" s="38" t="str">
        <f t="shared" si="7"/>
        <v/>
      </c>
      <c r="R27" s="38" t="str">
        <f t="shared" si="7"/>
        <v/>
      </c>
      <c r="S27" s="38" t="str">
        <f t="shared" si="7"/>
        <v/>
      </c>
      <c r="T27" s="38" t="str">
        <f t="shared" si="7"/>
        <v/>
      </c>
      <c r="U27" s="38" t="str">
        <f t="shared" si="7"/>
        <v/>
      </c>
      <c r="V27" s="38" t="str">
        <f t="shared" si="7"/>
        <v/>
      </c>
      <c r="W27" s="38" t="str">
        <f t="shared" si="7"/>
        <v/>
      </c>
      <c r="X27" s="38" t="str">
        <f t="shared" si="7"/>
        <v/>
      </c>
      <c r="Y27" s="38" t="str">
        <f t="shared" si="7"/>
        <v/>
      </c>
      <c r="Z27" s="38" t="str">
        <f t="shared" si="7"/>
        <v/>
      </c>
      <c r="AA27" s="38" t="str">
        <f t="shared" si="7"/>
        <v/>
      </c>
      <c r="AB27" s="38" t="str">
        <f t="shared" si="7"/>
        <v/>
      </c>
      <c r="AC27" s="38" t="str">
        <f t="shared" si="7"/>
        <v/>
      </c>
      <c r="AD27" s="38" t="str">
        <f t="shared" si="7"/>
        <v/>
      </c>
      <c r="AE27" s="38" t="str">
        <f t="shared" si="7"/>
        <v/>
      </c>
      <c r="AF27" s="38" t="str">
        <f t="shared" si="7"/>
        <v/>
      </c>
      <c r="AG27" s="38" t="str">
        <f t="shared" si="7"/>
        <v/>
      </c>
      <c r="AH27" s="38" t="str">
        <f t="shared" si="7"/>
        <v/>
      </c>
      <c r="AI27" s="38" t="str">
        <f t="shared" si="7"/>
        <v/>
      </c>
      <c r="AJ27" s="38" t="str">
        <f t="shared" si="7"/>
        <v/>
      </c>
      <c r="AK27" s="38" t="str">
        <f t="shared" si="7"/>
        <v/>
      </c>
      <c r="AL27" s="38" t="str">
        <f t="shared" si="7"/>
        <v/>
      </c>
      <c r="AM27" s="38" t="str">
        <f t="shared" si="7"/>
        <v/>
      </c>
      <c r="AN27" s="38" t="str">
        <f t="shared" si="7"/>
        <v/>
      </c>
      <c r="AO27" s="38" t="str">
        <f t="shared" si="7"/>
        <v/>
      </c>
      <c r="AP27" s="38" t="str">
        <f t="shared" si="7"/>
        <v/>
      </c>
      <c r="AQ27" s="38">
        <f t="shared" si="7"/>
        <v>0.130802269</v>
      </c>
      <c r="AR27" s="38">
        <f t="shared" si="7"/>
        <v>0.08322706672</v>
      </c>
      <c r="AS27" s="38">
        <f t="shared" si="7"/>
        <v>0.05667830754</v>
      </c>
      <c r="AT27" s="38">
        <f t="shared" si="7"/>
        <v>0.07791597266</v>
      </c>
      <c r="AU27" s="38">
        <f t="shared" si="7"/>
        <v>0.1043029435</v>
      </c>
      <c r="AV27" s="38">
        <f t="shared" si="7"/>
        <v>0.1198204703</v>
      </c>
      <c r="AW27" s="38">
        <f t="shared" si="7"/>
        <v>0.09559578044</v>
      </c>
      <c r="AX27" s="38" t="str">
        <f t="shared" si="7"/>
        <v/>
      </c>
      <c r="AY27" s="38">
        <f t="shared" si="7"/>
        <v>0.06299961129</v>
      </c>
      <c r="AZ27" s="38">
        <f t="shared" si="7"/>
        <v>0.1002105982</v>
      </c>
      <c r="BA27" s="38">
        <f t="shared" si="7"/>
        <v>0.134329396</v>
      </c>
      <c r="BB27" s="38">
        <f t="shared" si="7"/>
        <v>0.1266071273</v>
      </c>
      <c r="BC27" s="38">
        <f t="shared" si="7"/>
        <v>0.2647879687</v>
      </c>
      <c r="BD27" s="38">
        <f t="shared" si="7"/>
        <v>0.2365042875</v>
      </c>
      <c r="BE27" s="38" t="str">
        <f t="shared" si="7"/>
        <v/>
      </c>
    </row>
    <row r="28" ht="15.75" customHeight="1">
      <c r="A28" s="24" t="s">
        <v>32</v>
      </c>
      <c r="B28" s="24" t="s">
        <v>20</v>
      </c>
      <c r="C28" s="43"/>
      <c r="D28" s="38" t="str">
        <f t="shared" ref="D28:BE28" si="8">IF(OR(D13="",C13="",C13=0),"",(D13-C13)/ABS(C13))</f>
        <v/>
      </c>
      <c r="E28" s="38" t="str">
        <f t="shared" si="8"/>
        <v/>
      </c>
      <c r="F28" s="38" t="str">
        <f t="shared" si="8"/>
        <v/>
      </c>
      <c r="G28" s="38" t="str">
        <f t="shared" si="8"/>
        <v/>
      </c>
      <c r="H28" s="38" t="str">
        <f t="shared" si="8"/>
        <v/>
      </c>
      <c r="I28" s="38" t="str">
        <f t="shared" si="8"/>
        <v/>
      </c>
      <c r="J28" s="38" t="str">
        <f t="shared" si="8"/>
        <v/>
      </c>
      <c r="K28" s="38" t="str">
        <f t="shared" si="8"/>
        <v/>
      </c>
      <c r="L28" s="38" t="str">
        <f t="shared" si="8"/>
        <v/>
      </c>
      <c r="M28" s="38" t="str">
        <f t="shared" si="8"/>
        <v/>
      </c>
      <c r="N28" s="38" t="str">
        <f t="shared" si="8"/>
        <v/>
      </c>
      <c r="O28" s="38" t="str">
        <f t="shared" si="8"/>
        <v/>
      </c>
      <c r="P28" s="38" t="str">
        <f t="shared" si="8"/>
        <v/>
      </c>
      <c r="Q28" s="38" t="str">
        <f t="shared" si="8"/>
        <v/>
      </c>
      <c r="R28" s="38" t="str">
        <f t="shared" si="8"/>
        <v/>
      </c>
      <c r="S28" s="38" t="str">
        <f t="shared" si="8"/>
        <v/>
      </c>
      <c r="T28" s="38" t="str">
        <f t="shared" si="8"/>
        <v/>
      </c>
      <c r="U28" s="38" t="str">
        <f t="shared" si="8"/>
        <v/>
      </c>
      <c r="V28" s="38" t="str">
        <f t="shared" si="8"/>
        <v/>
      </c>
      <c r="W28" s="38" t="str">
        <f t="shared" si="8"/>
        <v/>
      </c>
      <c r="X28" s="38" t="str">
        <f t="shared" si="8"/>
        <v/>
      </c>
      <c r="Y28" s="38" t="str">
        <f t="shared" si="8"/>
        <v/>
      </c>
      <c r="Z28" s="38" t="str">
        <f t="shared" si="8"/>
        <v/>
      </c>
      <c r="AA28" s="38" t="str">
        <f t="shared" si="8"/>
        <v/>
      </c>
      <c r="AB28" s="38" t="str">
        <f t="shared" si="8"/>
        <v/>
      </c>
      <c r="AC28" s="38" t="str">
        <f t="shared" si="8"/>
        <v/>
      </c>
      <c r="AD28" s="38" t="str">
        <f t="shared" si="8"/>
        <v/>
      </c>
      <c r="AE28" s="38" t="str">
        <f t="shared" si="8"/>
        <v/>
      </c>
      <c r="AF28" s="38" t="str">
        <f t="shared" si="8"/>
        <v/>
      </c>
      <c r="AG28" s="38" t="str">
        <f t="shared" si="8"/>
        <v/>
      </c>
      <c r="AH28" s="38" t="str">
        <f t="shared" si="8"/>
        <v/>
      </c>
      <c r="AI28" s="38" t="str">
        <f t="shared" si="8"/>
        <v/>
      </c>
      <c r="AJ28" s="38" t="str">
        <f t="shared" si="8"/>
        <v/>
      </c>
      <c r="AK28" s="38" t="str">
        <f t="shared" si="8"/>
        <v/>
      </c>
      <c r="AL28" s="38" t="str">
        <f t="shared" si="8"/>
        <v/>
      </c>
      <c r="AM28" s="38" t="str">
        <f t="shared" si="8"/>
        <v/>
      </c>
      <c r="AN28" s="38" t="str">
        <f t="shared" si="8"/>
        <v/>
      </c>
      <c r="AO28" s="38">
        <f t="shared" si="8"/>
        <v>-0.6402157627</v>
      </c>
      <c r="AP28" s="38">
        <f t="shared" si="8"/>
        <v>0.8179243711</v>
      </c>
      <c r="AQ28" s="38">
        <f t="shared" si="8"/>
        <v>0.1048291029</v>
      </c>
      <c r="AR28" s="38">
        <f t="shared" si="8"/>
        <v>-0.6650908186</v>
      </c>
      <c r="AS28" s="38">
        <f t="shared" si="8"/>
        <v>0.04135710748</v>
      </c>
      <c r="AT28" s="38">
        <f t="shared" si="8"/>
        <v>-0.4411414982</v>
      </c>
      <c r="AU28" s="38">
        <f t="shared" si="8"/>
        <v>-6.355744681</v>
      </c>
      <c r="AV28" s="38">
        <f t="shared" si="8"/>
        <v>1.396551724</v>
      </c>
      <c r="AW28" s="38">
        <f t="shared" si="8"/>
        <v>-0.2402324184</v>
      </c>
      <c r="AX28" s="38">
        <f t="shared" si="8"/>
        <v>0.44092827</v>
      </c>
      <c r="AY28" s="38">
        <f t="shared" si="8"/>
        <v>-0.706625183</v>
      </c>
      <c r="AZ28" s="38">
        <f t="shared" si="8"/>
        <v>1.233312539</v>
      </c>
      <c r="BA28" s="38">
        <f t="shared" si="8"/>
        <v>-0.4153631285</v>
      </c>
      <c r="BB28" s="38">
        <f t="shared" si="8"/>
        <v>1.59689441</v>
      </c>
      <c r="BC28" s="38">
        <f t="shared" si="8"/>
        <v>-0.8474233253</v>
      </c>
      <c r="BD28" s="38">
        <f t="shared" si="8"/>
        <v>-0.3988906307</v>
      </c>
      <c r="BE28" s="38" t="str">
        <f t="shared" si="8"/>
        <v/>
      </c>
    </row>
    <row r="29" ht="15.75" customHeight="1">
      <c r="A29" s="24" t="s">
        <v>33</v>
      </c>
      <c r="B29" s="24" t="s">
        <v>20</v>
      </c>
      <c r="C29" s="43"/>
      <c r="D29" s="38" t="str">
        <f t="shared" ref="D29:BE29" si="9">IF(OR(D6="",C6="",C6=0),"",(D6-C6)/C6)</f>
        <v/>
      </c>
      <c r="E29" s="38" t="str">
        <f t="shared" si="9"/>
        <v/>
      </c>
      <c r="F29" s="38" t="str">
        <f t="shared" si="9"/>
        <v/>
      </c>
      <c r="G29" s="38" t="str">
        <f t="shared" si="9"/>
        <v/>
      </c>
      <c r="H29" s="38" t="str">
        <f t="shared" si="9"/>
        <v/>
      </c>
      <c r="I29" s="38" t="str">
        <f t="shared" si="9"/>
        <v/>
      </c>
      <c r="J29" s="38" t="str">
        <f t="shared" si="9"/>
        <v/>
      </c>
      <c r="K29" s="38" t="str">
        <f t="shared" si="9"/>
        <v/>
      </c>
      <c r="L29" s="38" t="str">
        <f t="shared" si="9"/>
        <v/>
      </c>
      <c r="M29" s="38" t="str">
        <f t="shared" si="9"/>
        <v/>
      </c>
      <c r="N29" s="38" t="str">
        <f t="shared" si="9"/>
        <v/>
      </c>
      <c r="O29" s="38" t="str">
        <f t="shared" si="9"/>
        <v/>
      </c>
      <c r="P29" s="38" t="str">
        <f t="shared" si="9"/>
        <v/>
      </c>
      <c r="Q29" s="38" t="str">
        <f t="shared" si="9"/>
        <v/>
      </c>
      <c r="R29" s="38" t="str">
        <f t="shared" si="9"/>
        <v/>
      </c>
      <c r="S29" s="38" t="str">
        <f t="shared" si="9"/>
        <v/>
      </c>
      <c r="T29" s="38" t="str">
        <f t="shared" si="9"/>
        <v/>
      </c>
      <c r="U29" s="38" t="str">
        <f t="shared" si="9"/>
        <v/>
      </c>
      <c r="V29" s="38" t="str">
        <f t="shared" si="9"/>
        <v/>
      </c>
      <c r="W29" s="38" t="str">
        <f t="shared" si="9"/>
        <v/>
      </c>
      <c r="X29" s="38" t="str">
        <f t="shared" si="9"/>
        <v/>
      </c>
      <c r="Y29" s="38" t="str">
        <f t="shared" si="9"/>
        <v/>
      </c>
      <c r="Z29" s="38" t="str">
        <f t="shared" si="9"/>
        <v/>
      </c>
      <c r="AA29" s="38" t="str">
        <f t="shared" si="9"/>
        <v/>
      </c>
      <c r="AB29" s="38" t="str">
        <f t="shared" si="9"/>
        <v/>
      </c>
      <c r="AC29" s="38" t="str">
        <f t="shared" si="9"/>
        <v/>
      </c>
      <c r="AD29" s="38" t="str">
        <f t="shared" si="9"/>
        <v/>
      </c>
      <c r="AE29" s="38" t="str">
        <f t="shared" si="9"/>
        <v/>
      </c>
      <c r="AF29" s="38" t="str">
        <f t="shared" si="9"/>
        <v/>
      </c>
      <c r="AG29" s="38" t="str">
        <f t="shared" si="9"/>
        <v/>
      </c>
      <c r="AH29" s="38" t="str">
        <f t="shared" si="9"/>
        <v/>
      </c>
      <c r="AI29" s="38" t="str">
        <f t="shared" si="9"/>
        <v/>
      </c>
      <c r="AJ29" s="38" t="str">
        <f t="shared" si="9"/>
        <v/>
      </c>
      <c r="AK29" s="38" t="str">
        <f t="shared" si="9"/>
        <v/>
      </c>
      <c r="AL29" s="38" t="str">
        <f t="shared" si="9"/>
        <v/>
      </c>
      <c r="AM29" s="38" t="str">
        <f t="shared" si="9"/>
        <v/>
      </c>
      <c r="AN29" s="38" t="str">
        <f t="shared" si="9"/>
        <v/>
      </c>
      <c r="AO29" s="38">
        <f t="shared" si="9"/>
        <v>0.4173882635</v>
      </c>
      <c r="AP29" s="38">
        <f t="shared" si="9"/>
        <v>0.1493862233</v>
      </c>
      <c r="AQ29" s="38">
        <f t="shared" si="9"/>
        <v>0.2095448784</v>
      </c>
      <c r="AR29" s="38">
        <f t="shared" si="9"/>
        <v>0.2496787444</v>
      </c>
      <c r="AS29" s="38">
        <f t="shared" si="9"/>
        <v>0.2400370422</v>
      </c>
      <c r="AT29" s="38">
        <f t="shared" si="9"/>
        <v>0.1211265063</v>
      </c>
      <c r="AU29" s="38">
        <f t="shared" si="9"/>
        <v>0.111657702</v>
      </c>
      <c r="AV29" s="38">
        <f t="shared" si="9"/>
        <v>0.144568905</v>
      </c>
      <c r="AW29" s="38">
        <f t="shared" si="9"/>
        <v>0.2114995887</v>
      </c>
      <c r="AX29" s="38">
        <f t="shared" si="9"/>
        <v>0.073300772</v>
      </c>
      <c r="AY29" s="38">
        <f t="shared" si="9"/>
        <v>0.2680715689</v>
      </c>
      <c r="AZ29" s="38">
        <f t="shared" si="9"/>
        <v>0.05503199837</v>
      </c>
      <c r="BA29" s="38">
        <f t="shared" si="9"/>
        <v>0.03228750782</v>
      </c>
      <c r="BB29" s="38">
        <f t="shared" si="9"/>
        <v>0.155192484</v>
      </c>
      <c r="BC29" s="38">
        <f t="shared" si="9"/>
        <v>0.01676331123</v>
      </c>
      <c r="BD29" s="38">
        <f t="shared" si="9"/>
        <v>0.0492011987</v>
      </c>
      <c r="BE29" s="38" t="str">
        <f t="shared" si="9"/>
        <v/>
      </c>
    </row>
    <row r="30" ht="15.75" customHeight="1">
      <c r="A30" s="60" t="s">
        <v>61</v>
      </c>
      <c r="B30" s="61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</row>
    <row r="31" ht="15.75" customHeight="1">
      <c r="A31" s="1"/>
    </row>
    <row r="32" ht="15.75" customHeight="1">
      <c r="A32" s="24" t="s">
        <v>62</v>
      </c>
      <c r="B32" s="24" t="s">
        <v>8</v>
      </c>
      <c r="C32" s="25">
        <v>7.0</v>
      </c>
      <c r="D32" s="25">
        <v>20.2</v>
      </c>
      <c r="E32" s="25">
        <v>25.9</v>
      </c>
      <c r="F32" s="25">
        <v>50.1</v>
      </c>
      <c r="G32" s="25">
        <v>44.7</v>
      </c>
      <c r="H32" s="25">
        <v>41.7</v>
      </c>
      <c r="I32" s="25">
        <v>42.1</v>
      </c>
      <c r="J32" s="25">
        <v>43.8</v>
      </c>
      <c r="K32" s="25">
        <v>71.8</v>
      </c>
      <c r="L32" s="25">
        <v>84.0</v>
      </c>
      <c r="M32" s="25">
        <v>95.0</v>
      </c>
      <c r="N32" s="25">
        <v>123.1</v>
      </c>
      <c r="O32" s="25">
        <v>164.7</v>
      </c>
      <c r="P32" s="25">
        <v>248.6</v>
      </c>
      <c r="Q32" s="25">
        <v>141.4</v>
      </c>
      <c r="R32" s="25">
        <v>167.6</v>
      </c>
      <c r="S32" s="25">
        <v>12.2</v>
      </c>
      <c r="T32" s="25">
        <v>-103.8</v>
      </c>
      <c r="U32" s="25">
        <v>-727.2</v>
      </c>
      <c r="V32" s="25">
        <v>-407.0</v>
      </c>
      <c r="W32" s="25">
        <v>-1767.1</v>
      </c>
      <c r="X32" s="25">
        <v>-346.8</v>
      </c>
      <c r="Y32" s="25">
        <v>-431.8</v>
      </c>
      <c r="Z32" s="25">
        <v>391.4</v>
      </c>
      <c r="AA32" s="25">
        <v>17.0</v>
      </c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>
        <v>1668.5</v>
      </c>
      <c r="AO32" s="25">
        <v>1425.7</v>
      </c>
      <c r="AP32" s="25">
        <v>2498.6</v>
      </c>
      <c r="AQ32" s="25">
        <v>1274.0</v>
      </c>
      <c r="AR32" s="25">
        <v>1060.7</v>
      </c>
      <c r="AS32" s="25">
        <v>789.0</v>
      </c>
      <c r="AT32" s="25">
        <v>1060.8</v>
      </c>
      <c r="AU32" s="25">
        <v>-887.8</v>
      </c>
      <c r="AV32" s="25">
        <v>1179.1</v>
      </c>
      <c r="AW32" s="25">
        <v>719.2</v>
      </c>
      <c r="AX32" s="25">
        <v>956.8</v>
      </c>
      <c r="AY32" s="25">
        <v>446.9</v>
      </c>
      <c r="AZ32" s="25">
        <v>717.5</v>
      </c>
      <c r="BA32" s="25">
        <v>626.4</v>
      </c>
      <c r="BB32" s="25">
        <v>1319.32</v>
      </c>
      <c r="BC32" s="25">
        <v>339.51</v>
      </c>
      <c r="BD32" s="25">
        <v>474.25</v>
      </c>
      <c r="BE32" s="25"/>
    </row>
    <row r="33" ht="15.75" customHeight="1">
      <c r="A33" s="24" t="s">
        <v>63</v>
      </c>
      <c r="B33" s="24" t="s">
        <v>8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>
        <v>6367.45</v>
      </c>
      <c r="AR33" s="25">
        <v>6899.22</v>
      </c>
      <c r="AS33" s="25">
        <v>8779.59</v>
      </c>
      <c r="AT33" s="25">
        <v>9552.63</v>
      </c>
      <c r="AU33" s="25">
        <v>10012.45</v>
      </c>
      <c r="AV33" s="25">
        <v>13002.37</v>
      </c>
      <c r="AW33" s="25">
        <v>14583.65</v>
      </c>
      <c r="AX33" s="25"/>
      <c r="AY33" s="25"/>
      <c r="AZ33" s="25">
        <v>16686.92</v>
      </c>
      <c r="BA33" s="25">
        <v>16835.23</v>
      </c>
      <c r="BB33" s="25">
        <v>19934.75</v>
      </c>
      <c r="BC33" s="25">
        <v>18122.79</v>
      </c>
      <c r="BD33" s="25">
        <v>18120.89</v>
      </c>
      <c r="BE33" s="25"/>
    </row>
    <row r="34" ht="15.75" customHeight="1">
      <c r="A34" s="1"/>
    </row>
    <row r="35" ht="15.0" customHeight="1">
      <c r="A35" s="45" t="s">
        <v>64</v>
      </c>
    </row>
    <row r="36" ht="15.0" customHeight="1">
      <c r="A36" s="46" t="s">
        <v>65</v>
      </c>
    </row>
    <row r="37" ht="15.0" customHeight="1">
      <c r="A37" s="46" t="s">
        <v>66</v>
      </c>
    </row>
    <row r="38" ht="15.0" customHeight="1">
      <c r="A38" s="46" t="s">
        <v>67</v>
      </c>
    </row>
    <row r="39" ht="15.0" customHeight="1">
      <c r="A39" s="46" t="s">
        <v>68</v>
      </c>
    </row>
    <row r="40" ht="15.0" customHeight="1">
      <c r="A40" s="46" t="s">
        <v>69</v>
      </c>
    </row>
    <row r="41" ht="15.0" customHeight="1">
      <c r="A41" s="46" t="s">
        <v>70</v>
      </c>
    </row>
    <row r="42" ht="15.0" customHeight="1">
      <c r="A42" s="46" t="s">
        <v>71</v>
      </c>
    </row>
    <row r="43" ht="15.0" customHeight="1">
      <c r="A43" s="46" t="s">
        <v>72</v>
      </c>
    </row>
    <row r="44" ht="15.0" customHeight="1">
      <c r="A44" s="46" t="s">
        <v>73</v>
      </c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2026-09-16T08:47:53Z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